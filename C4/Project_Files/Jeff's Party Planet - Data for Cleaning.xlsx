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Pivot Table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<sst xmlns="http://schemas.openxmlformats.org/spreadsheetml/2006/main" count="159" uniqueCount="49">
  <si>
    <t>Product</t>
  </si>
  <si>
    <t>Purchase Orders</t>
  </si>
  <si>
    <t>Suppliers</t>
  </si>
  <si>
    <t>Price</t>
  </si>
  <si>
    <t>Expenditure per piece</t>
  </si>
  <si>
    <t>Revenue</t>
  </si>
  <si>
    <t>Total expenditure</t>
  </si>
  <si>
    <t>Profit</t>
  </si>
  <si>
    <t>Balloons (100 count)</t>
  </si>
  <si>
    <t>Sparklefest Ltd.</t>
  </si>
  <si>
    <t>Banners</t>
  </si>
  <si>
    <t>Inflatibles Plus</t>
  </si>
  <si>
    <t>Bounce house</t>
  </si>
  <si>
    <t>Inflatibles Plos</t>
  </si>
  <si>
    <t>Bowls (25 count)</t>
  </si>
  <si>
    <t>Eco-Disposables</t>
  </si>
  <si>
    <t>Centerpieces</t>
  </si>
  <si>
    <t>Chair covers</t>
  </si>
  <si>
    <t>Supply 4U</t>
  </si>
  <si>
    <t>Chair cushions</t>
  </si>
  <si>
    <t>Chairs</t>
  </si>
  <si>
    <t>Coasters (50 count)</t>
  </si>
  <si>
    <t>Cocktail napkins (100 count)</t>
  </si>
  <si>
    <t>Cocktail plates (40 count)</t>
  </si>
  <si>
    <t>Confetti (65 count)</t>
  </si>
  <si>
    <t>Forks (50 count)</t>
  </si>
  <si>
    <t>Goody bags (10 count)</t>
  </si>
  <si>
    <t>Ice buckets</t>
  </si>
  <si>
    <t>Invitations (20 count)</t>
  </si>
  <si>
    <t>Knives (50 count)</t>
  </si>
  <si>
    <t>Ladles</t>
  </si>
  <si>
    <t>Name tags (20 count)</t>
  </si>
  <si>
    <t>Noisemakers (30 count)</t>
  </si>
  <si>
    <t>Outdoor heaters</t>
  </si>
  <si>
    <t>Party hats (10 count)</t>
  </si>
  <si>
    <t>Piñatas</t>
  </si>
  <si>
    <t>Plates (25 count)</t>
  </si>
  <si>
    <t>Punch bowls</t>
  </si>
  <si>
    <t>Serving platters</t>
  </si>
  <si>
    <t>Serving utensils</t>
  </si>
  <si>
    <t>Spoons (50 count)</t>
  </si>
  <si>
    <t>Streamers</t>
  </si>
  <si>
    <t>Table skirts</t>
  </si>
  <si>
    <t>Tablecloths</t>
  </si>
  <si>
    <t>Tables</t>
  </si>
  <si>
    <t>Tents</t>
  </si>
  <si>
    <t>Toothpicks (500 count)</t>
  </si>
  <si>
    <t>COUNTA of Suppliers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</si>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</sst>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3" fontId="2" numFmtId="164" xfId="0" applyAlignment="1" applyBorder="1" applyFill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C993" sheet="Cleaned_Data"/>
  </cacheSource>
  <cacheFields>
    <cacheField name="Suppliers" numFmtId="164">
      <sharedItems containsBlank="1">
        <s v="Sparklefest Ltd."/>
        <s v="Inflatibles Plus"/>
        <s v="Eco-Disposables"/>
        <s v="Supply 4U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B7" firstHeaderRow="0" firstDataRow="1" firstDataCol="0"/>
  <pivotFields>
    <pivotField name="Suppliers" axis="axisRow" dataField="1" compact="0" numFmtId="16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0"/>
  </rowFields>
  <dataFields>
    <dataField name="COUNTA of Supplier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5.63"/>
    <col customWidth="1" min="3" max="3" width="20.38"/>
    <col customWidth="1" min="5" max="5" width="19.38"/>
    <col customWidth="1" min="6" max="6" width="16.75"/>
    <col customWidth="1" min="7" max="7" width="16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8</v>
      </c>
      <c r="B2" s="4">
        <v>776.0</v>
      </c>
      <c r="C2" s="5" t="s">
        <v>9</v>
      </c>
      <c r="D2" s="5">
        <v>16.94</v>
      </c>
      <c r="E2" s="6">
        <f t="shared" ref="E2:E35" si="1">D2*70%</f>
        <v>11.858</v>
      </c>
      <c r="F2" s="6">
        <f t="shared" ref="F2:F35" si="2">B2*D2</f>
        <v>13145.44</v>
      </c>
      <c r="G2" s="6">
        <f t="shared" ref="G2:G35" si="3">E2*B2</f>
        <v>9201.808</v>
      </c>
      <c r="H2" s="6">
        <f t="shared" ref="H2:H35" si="4">F2-G2</f>
        <v>3943.632</v>
      </c>
    </row>
    <row r="3">
      <c r="A3" s="4" t="s">
        <v>10</v>
      </c>
      <c r="B3" s="4">
        <v>236.0</v>
      </c>
      <c r="C3" s="5" t="s">
        <v>11</v>
      </c>
      <c r="D3" s="5">
        <v>3.7</v>
      </c>
      <c r="E3" s="6">
        <f t="shared" si="1"/>
        <v>2.59</v>
      </c>
      <c r="F3" s="6">
        <f t="shared" si="2"/>
        <v>873.2</v>
      </c>
      <c r="G3" s="6">
        <f t="shared" si="3"/>
        <v>611.24</v>
      </c>
      <c r="H3" s="6">
        <f t="shared" si="4"/>
        <v>261.96</v>
      </c>
    </row>
    <row r="4">
      <c r="A4" s="4" t="s">
        <v>12</v>
      </c>
      <c r="B4" s="4">
        <v>24.0</v>
      </c>
      <c r="C4" s="5" t="s">
        <v>13</v>
      </c>
      <c r="D4" s="5">
        <v>396.34</v>
      </c>
      <c r="E4" s="6">
        <f t="shared" si="1"/>
        <v>277.438</v>
      </c>
      <c r="F4" s="6">
        <f t="shared" si="2"/>
        <v>9512.16</v>
      </c>
      <c r="G4" s="6">
        <f t="shared" si="3"/>
        <v>6658.512</v>
      </c>
      <c r="H4" s="6">
        <f t="shared" si="4"/>
        <v>2853.648</v>
      </c>
    </row>
    <row r="5">
      <c r="A5" s="4" t="s">
        <v>14</v>
      </c>
      <c r="B5" s="4">
        <v>861.0</v>
      </c>
      <c r="C5" s="5" t="s">
        <v>15</v>
      </c>
      <c r="D5" s="5">
        <v>2.27</v>
      </c>
      <c r="E5" s="6">
        <f t="shared" si="1"/>
        <v>1.589</v>
      </c>
      <c r="F5" s="6">
        <f t="shared" si="2"/>
        <v>1954.47</v>
      </c>
      <c r="G5" s="6">
        <f t="shared" si="3"/>
        <v>1368.129</v>
      </c>
      <c r="H5" s="6">
        <f t="shared" si="4"/>
        <v>586.341</v>
      </c>
    </row>
    <row r="6">
      <c r="A6" s="4" t="s">
        <v>16</v>
      </c>
      <c r="B6" s="4">
        <v>591.0</v>
      </c>
      <c r="C6" s="5" t="s">
        <v>9</v>
      </c>
      <c r="D6" s="5">
        <v>8.26</v>
      </c>
      <c r="E6" s="6">
        <f t="shared" si="1"/>
        <v>5.782</v>
      </c>
      <c r="F6" s="6">
        <f t="shared" si="2"/>
        <v>4881.66</v>
      </c>
      <c r="G6" s="6">
        <f t="shared" si="3"/>
        <v>3417.162</v>
      </c>
      <c r="H6" s="6">
        <f t="shared" si="4"/>
        <v>1464.498</v>
      </c>
    </row>
    <row r="7">
      <c r="A7" s="4" t="s">
        <v>17</v>
      </c>
      <c r="B7" s="4">
        <v>830.0</v>
      </c>
      <c r="C7" s="5" t="s">
        <v>18</v>
      </c>
      <c r="D7" s="5">
        <v>9.37</v>
      </c>
      <c r="E7" s="6">
        <f t="shared" si="1"/>
        <v>6.559</v>
      </c>
      <c r="F7" s="6">
        <f t="shared" si="2"/>
        <v>7777.1</v>
      </c>
      <c r="G7" s="6">
        <f t="shared" si="3"/>
        <v>5443.97</v>
      </c>
      <c r="H7" s="6">
        <f t="shared" si="4"/>
        <v>2333.13</v>
      </c>
    </row>
    <row r="8">
      <c r="A8" s="4" t="s">
        <v>19</v>
      </c>
      <c r="B8" s="4">
        <v>745.0</v>
      </c>
      <c r="C8" s="5" t="s">
        <v>18</v>
      </c>
      <c r="D8" s="5">
        <v>13.82</v>
      </c>
      <c r="E8" s="6">
        <f t="shared" si="1"/>
        <v>9.674</v>
      </c>
      <c r="F8" s="6">
        <f t="shared" si="2"/>
        <v>10295.9</v>
      </c>
      <c r="G8" s="6">
        <f t="shared" si="3"/>
        <v>7207.13</v>
      </c>
      <c r="H8" s="6">
        <f t="shared" si="4"/>
        <v>3088.77</v>
      </c>
    </row>
    <row r="9">
      <c r="A9" s="4" t="s">
        <v>20</v>
      </c>
      <c r="B9" s="4">
        <v>111.0</v>
      </c>
      <c r="C9" s="5" t="s">
        <v>18</v>
      </c>
      <c r="D9" s="5">
        <v>10.95</v>
      </c>
      <c r="E9" s="6">
        <f t="shared" si="1"/>
        <v>7.665</v>
      </c>
      <c r="F9" s="6">
        <f t="shared" si="2"/>
        <v>1215.45</v>
      </c>
      <c r="G9" s="6">
        <f t="shared" si="3"/>
        <v>850.815</v>
      </c>
      <c r="H9" s="6">
        <f t="shared" si="4"/>
        <v>364.635</v>
      </c>
    </row>
    <row r="10">
      <c r="A10" s="4" t="s">
        <v>21</v>
      </c>
      <c r="B10" s="4">
        <v>701.0</v>
      </c>
      <c r="C10" s="5" t="s">
        <v>15</v>
      </c>
      <c r="D10" s="5">
        <v>3.01</v>
      </c>
      <c r="E10" s="6">
        <f t="shared" si="1"/>
        <v>2.107</v>
      </c>
      <c r="F10" s="6">
        <f t="shared" si="2"/>
        <v>2110.01</v>
      </c>
      <c r="G10" s="6">
        <f t="shared" si="3"/>
        <v>1477.007</v>
      </c>
      <c r="H10" s="6">
        <f t="shared" si="4"/>
        <v>633.003</v>
      </c>
    </row>
    <row r="11">
      <c r="A11" s="4" t="s">
        <v>22</v>
      </c>
      <c r="B11" s="4">
        <v>985.0</v>
      </c>
      <c r="C11" s="5" t="s">
        <v>15</v>
      </c>
      <c r="D11" s="5">
        <v>5.94</v>
      </c>
      <c r="E11" s="6">
        <f t="shared" si="1"/>
        <v>4.158</v>
      </c>
      <c r="F11" s="6">
        <f t="shared" si="2"/>
        <v>5850.9</v>
      </c>
      <c r="G11" s="6">
        <f t="shared" si="3"/>
        <v>4095.63</v>
      </c>
      <c r="H11" s="6">
        <f t="shared" si="4"/>
        <v>1755.27</v>
      </c>
    </row>
    <row r="12">
      <c r="A12" s="4" t="s">
        <v>23</v>
      </c>
      <c r="B12" s="4">
        <v>928.0</v>
      </c>
      <c r="C12" s="5" t="s">
        <v>15</v>
      </c>
      <c r="D12" s="5">
        <v>6.05</v>
      </c>
      <c r="E12" s="6">
        <f t="shared" si="1"/>
        <v>4.235</v>
      </c>
      <c r="F12" s="6">
        <f t="shared" si="2"/>
        <v>5614.4</v>
      </c>
      <c r="G12" s="6">
        <f t="shared" si="3"/>
        <v>3930.08</v>
      </c>
      <c r="H12" s="6">
        <f t="shared" si="4"/>
        <v>1684.32</v>
      </c>
    </row>
    <row r="13">
      <c r="A13" s="4" t="s">
        <v>24</v>
      </c>
      <c r="B13" s="4">
        <v>603.0</v>
      </c>
      <c r="C13" s="5" t="s">
        <v>9</v>
      </c>
      <c r="D13" s="5">
        <v>0.94</v>
      </c>
      <c r="E13" s="6">
        <f t="shared" si="1"/>
        <v>0.658</v>
      </c>
      <c r="F13" s="6">
        <f t="shared" si="2"/>
        <v>566.82</v>
      </c>
      <c r="G13" s="6">
        <f t="shared" si="3"/>
        <v>396.774</v>
      </c>
      <c r="H13" s="6">
        <f t="shared" si="4"/>
        <v>170.046</v>
      </c>
    </row>
    <row r="14">
      <c r="A14" s="4" t="s">
        <v>25</v>
      </c>
      <c r="B14" s="4">
        <v>1065.0</v>
      </c>
      <c r="C14" s="5" t="s">
        <v>15</v>
      </c>
      <c r="D14" s="5">
        <v>2.49</v>
      </c>
      <c r="E14" s="6">
        <f t="shared" si="1"/>
        <v>1.743</v>
      </c>
      <c r="F14" s="6">
        <f t="shared" si="2"/>
        <v>2651.85</v>
      </c>
      <c r="G14" s="6">
        <f t="shared" si="3"/>
        <v>1856.295</v>
      </c>
      <c r="H14" s="6">
        <f t="shared" si="4"/>
        <v>795.555</v>
      </c>
    </row>
    <row r="15">
      <c r="A15" s="4" t="s">
        <v>26</v>
      </c>
      <c r="B15" s="4">
        <v>870.0</v>
      </c>
      <c r="C15" s="5" t="s">
        <v>15</v>
      </c>
      <c r="D15" s="5">
        <v>0.82</v>
      </c>
      <c r="E15" s="6">
        <f t="shared" si="1"/>
        <v>0.574</v>
      </c>
      <c r="F15" s="6">
        <f t="shared" si="2"/>
        <v>713.4</v>
      </c>
      <c r="G15" s="6">
        <f t="shared" si="3"/>
        <v>499.38</v>
      </c>
      <c r="H15" s="6">
        <f t="shared" si="4"/>
        <v>214.02</v>
      </c>
    </row>
    <row r="16">
      <c r="A16" s="4" t="s">
        <v>27</v>
      </c>
      <c r="B16" s="4">
        <v>157.0</v>
      </c>
      <c r="C16" s="5" t="s">
        <v>11</v>
      </c>
      <c r="D16" s="5">
        <v>6.88</v>
      </c>
      <c r="E16" s="6">
        <f t="shared" si="1"/>
        <v>4.816</v>
      </c>
      <c r="F16" s="6">
        <f t="shared" si="2"/>
        <v>1080.16</v>
      </c>
      <c r="G16" s="6">
        <f t="shared" si="3"/>
        <v>756.112</v>
      </c>
      <c r="H16" s="6">
        <f t="shared" si="4"/>
        <v>324.048</v>
      </c>
    </row>
    <row r="17">
      <c r="A17" s="4" t="s">
        <v>28</v>
      </c>
      <c r="B17" s="4">
        <v>1209.0</v>
      </c>
      <c r="C17" s="5" t="s">
        <v>9</v>
      </c>
      <c r="D17" s="5">
        <v>7.29</v>
      </c>
      <c r="E17" s="6">
        <f t="shared" si="1"/>
        <v>5.103</v>
      </c>
      <c r="F17" s="6">
        <f t="shared" si="2"/>
        <v>8813.61</v>
      </c>
      <c r="G17" s="6">
        <f t="shared" si="3"/>
        <v>6169.527</v>
      </c>
      <c r="H17" s="6">
        <f t="shared" si="4"/>
        <v>2644.083</v>
      </c>
    </row>
    <row r="18">
      <c r="A18" s="4" t="s">
        <v>29</v>
      </c>
      <c r="B18" s="4">
        <v>1015.0</v>
      </c>
      <c r="C18" s="5" t="s">
        <v>15</v>
      </c>
      <c r="D18" s="5">
        <v>2.49</v>
      </c>
      <c r="E18" s="6">
        <f t="shared" si="1"/>
        <v>1.743</v>
      </c>
      <c r="F18" s="6">
        <f t="shared" si="2"/>
        <v>2527.35</v>
      </c>
      <c r="G18" s="6">
        <f t="shared" si="3"/>
        <v>1769.145</v>
      </c>
      <c r="H18" s="6">
        <f t="shared" si="4"/>
        <v>758.205</v>
      </c>
    </row>
    <row r="19">
      <c r="A19" s="4" t="s">
        <v>30</v>
      </c>
      <c r="B19" s="4">
        <v>421.0</v>
      </c>
      <c r="C19" s="5" t="s">
        <v>11</v>
      </c>
      <c r="D19" s="5">
        <v>2.29</v>
      </c>
      <c r="E19" s="6">
        <f t="shared" si="1"/>
        <v>1.603</v>
      </c>
      <c r="F19" s="6">
        <f t="shared" si="2"/>
        <v>964.09</v>
      </c>
      <c r="G19" s="6">
        <f t="shared" si="3"/>
        <v>674.863</v>
      </c>
      <c r="H19" s="6">
        <f t="shared" si="4"/>
        <v>289.227</v>
      </c>
    </row>
    <row r="20">
      <c r="A20" s="4" t="s">
        <v>31</v>
      </c>
      <c r="B20" s="4">
        <v>281.0</v>
      </c>
      <c r="C20" s="5" t="s">
        <v>9</v>
      </c>
      <c r="D20" s="5">
        <v>1.19</v>
      </c>
      <c r="E20" s="6">
        <f t="shared" si="1"/>
        <v>0.833</v>
      </c>
      <c r="F20" s="6">
        <f t="shared" si="2"/>
        <v>334.39</v>
      </c>
      <c r="G20" s="6">
        <f t="shared" si="3"/>
        <v>234.073</v>
      </c>
      <c r="H20" s="6">
        <f t="shared" si="4"/>
        <v>100.317</v>
      </c>
    </row>
    <row r="21">
      <c r="A21" s="4" t="s">
        <v>32</v>
      </c>
      <c r="B21" s="4">
        <v>741.0</v>
      </c>
      <c r="C21" s="5" t="s">
        <v>9</v>
      </c>
      <c r="D21" s="5">
        <v>4.27</v>
      </c>
      <c r="E21" s="6">
        <f t="shared" si="1"/>
        <v>2.989</v>
      </c>
      <c r="F21" s="6">
        <f t="shared" si="2"/>
        <v>3164.07</v>
      </c>
      <c r="G21" s="6">
        <f t="shared" si="3"/>
        <v>2214.849</v>
      </c>
      <c r="H21" s="6">
        <f t="shared" si="4"/>
        <v>949.221</v>
      </c>
    </row>
    <row r="22">
      <c r="A22" s="4" t="s">
        <v>33</v>
      </c>
      <c r="B22" s="4">
        <v>125.0</v>
      </c>
      <c r="C22" s="5" t="s">
        <v>11</v>
      </c>
      <c r="D22" s="5">
        <v>105.28</v>
      </c>
      <c r="E22" s="6">
        <f t="shared" si="1"/>
        <v>73.696</v>
      </c>
      <c r="F22" s="6">
        <f t="shared" si="2"/>
        <v>13160</v>
      </c>
      <c r="G22" s="6">
        <f t="shared" si="3"/>
        <v>9212</v>
      </c>
      <c r="H22" s="6">
        <f t="shared" si="4"/>
        <v>3948</v>
      </c>
    </row>
    <row r="23">
      <c r="A23" s="4" t="s">
        <v>34</v>
      </c>
      <c r="B23" s="4">
        <v>808.0</v>
      </c>
      <c r="C23" s="5" t="s">
        <v>9</v>
      </c>
      <c r="D23" s="5">
        <v>3.92</v>
      </c>
      <c r="E23" s="6">
        <f t="shared" si="1"/>
        <v>2.744</v>
      </c>
      <c r="F23" s="6">
        <f t="shared" si="2"/>
        <v>3167.36</v>
      </c>
      <c r="G23" s="6">
        <f t="shared" si="3"/>
        <v>2217.152</v>
      </c>
      <c r="H23" s="6">
        <f t="shared" si="4"/>
        <v>950.208</v>
      </c>
    </row>
    <row r="24">
      <c r="A24" s="4" t="s">
        <v>35</v>
      </c>
      <c r="B24" s="4">
        <v>867.0</v>
      </c>
      <c r="C24" s="5" t="s">
        <v>9</v>
      </c>
      <c r="D24" s="5">
        <v>29.16</v>
      </c>
      <c r="E24" s="6">
        <f t="shared" si="1"/>
        <v>20.412</v>
      </c>
      <c r="F24" s="6">
        <f t="shared" si="2"/>
        <v>25281.72</v>
      </c>
      <c r="G24" s="6">
        <f t="shared" si="3"/>
        <v>17697.204</v>
      </c>
      <c r="H24" s="6">
        <f t="shared" si="4"/>
        <v>7584.516</v>
      </c>
    </row>
    <row r="25">
      <c r="A25" s="4" t="s">
        <v>36</v>
      </c>
      <c r="B25" s="4">
        <v>439.0</v>
      </c>
      <c r="C25" s="5" t="s">
        <v>15</v>
      </c>
      <c r="D25" s="5">
        <v>2.03</v>
      </c>
      <c r="E25" s="6">
        <f t="shared" si="1"/>
        <v>1.421</v>
      </c>
      <c r="F25" s="6">
        <f t="shared" si="2"/>
        <v>891.17</v>
      </c>
      <c r="G25" s="6">
        <f t="shared" si="3"/>
        <v>623.819</v>
      </c>
      <c r="H25" s="6">
        <f t="shared" si="4"/>
        <v>267.351</v>
      </c>
    </row>
    <row r="26">
      <c r="A26" s="4" t="s">
        <v>37</v>
      </c>
      <c r="B26" s="4">
        <v>292.0</v>
      </c>
      <c r="C26" s="5" t="s">
        <v>11</v>
      </c>
      <c r="D26" s="5">
        <v>18.55</v>
      </c>
      <c r="E26" s="6">
        <f t="shared" si="1"/>
        <v>12.985</v>
      </c>
      <c r="F26" s="6">
        <f t="shared" si="2"/>
        <v>5416.6</v>
      </c>
      <c r="G26" s="6">
        <f t="shared" si="3"/>
        <v>3791.62</v>
      </c>
      <c r="H26" s="6">
        <f t="shared" si="4"/>
        <v>1624.98</v>
      </c>
    </row>
    <row r="27">
      <c r="A27" s="4" t="s">
        <v>38</v>
      </c>
      <c r="B27" s="4">
        <v>864.0</v>
      </c>
      <c r="C27" s="5" t="s">
        <v>11</v>
      </c>
      <c r="D27" s="5">
        <v>5.0</v>
      </c>
      <c r="E27" s="6">
        <f t="shared" si="1"/>
        <v>3.5</v>
      </c>
      <c r="F27" s="6">
        <f t="shared" si="2"/>
        <v>4320</v>
      </c>
      <c r="G27" s="6">
        <f t="shared" si="3"/>
        <v>3024</v>
      </c>
      <c r="H27" s="6">
        <f t="shared" si="4"/>
        <v>1296</v>
      </c>
    </row>
    <row r="28">
      <c r="A28" s="4" t="s">
        <v>39</v>
      </c>
      <c r="B28" s="4">
        <v>127.0</v>
      </c>
      <c r="C28" s="5" t="s">
        <v>11</v>
      </c>
      <c r="D28" s="5">
        <v>3.09</v>
      </c>
      <c r="E28" s="6">
        <f t="shared" si="1"/>
        <v>2.163</v>
      </c>
      <c r="F28" s="6">
        <f t="shared" si="2"/>
        <v>392.43</v>
      </c>
      <c r="G28" s="6">
        <f t="shared" si="3"/>
        <v>274.701</v>
      </c>
      <c r="H28" s="6">
        <f t="shared" si="4"/>
        <v>117.729</v>
      </c>
    </row>
    <row r="29">
      <c r="A29" s="4" t="s">
        <v>40</v>
      </c>
      <c r="B29" s="4">
        <v>927.0</v>
      </c>
      <c r="C29" s="5" t="s">
        <v>15</v>
      </c>
      <c r="D29" s="5">
        <v>2.49</v>
      </c>
      <c r="E29" s="6">
        <f t="shared" si="1"/>
        <v>1.743</v>
      </c>
      <c r="F29" s="6">
        <f t="shared" si="2"/>
        <v>2308.23</v>
      </c>
      <c r="G29" s="6">
        <f t="shared" si="3"/>
        <v>1615.761</v>
      </c>
      <c r="H29" s="6">
        <f t="shared" si="4"/>
        <v>692.469</v>
      </c>
    </row>
    <row r="30">
      <c r="A30" s="4" t="s">
        <v>41</v>
      </c>
      <c r="B30" s="4">
        <v>566.0</v>
      </c>
      <c r="C30" s="5" t="s">
        <v>9</v>
      </c>
      <c r="D30" s="5">
        <v>2.67</v>
      </c>
      <c r="E30" s="6">
        <f t="shared" si="1"/>
        <v>1.869</v>
      </c>
      <c r="F30" s="6">
        <f t="shared" si="2"/>
        <v>1511.22</v>
      </c>
      <c r="G30" s="6">
        <f t="shared" si="3"/>
        <v>1057.854</v>
      </c>
      <c r="H30" s="6">
        <f t="shared" si="4"/>
        <v>453.366</v>
      </c>
    </row>
    <row r="31">
      <c r="A31" s="4" t="s">
        <v>42</v>
      </c>
      <c r="B31" s="4">
        <v>1289.0</v>
      </c>
      <c r="C31" s="5" t="s">
        <v>18</v>
      </c>
      <c r="D31" s="5">
        <v>8.5</v>
      </c>
      <c r="E31" s="6">
        <f t="shared" si="1"/>
        <v>5.95</v>
      </c>
      <c r="F31" s="6">
        <f t="shared" si="2"/>
        <v>10956.5</v>
      </c>
      <c r="G31" s="6">
        <f t="shared" si="3"/>
        <v>7669.55</v>
      </c>
      <c r="H31" s="6">
        <f t="shared" si="4"/>
        <v>3286.95</v>
      </c>
    </row>
    <row r="32">
      <c r="A32" s="4" t="s">
        <v>43</v>
      </c>
      <c r="B32" s="4">
        <v>328.0</v>
      </c>
      <c r="C32" s="5" t="s">
        <v>18</v>
      </c>
      <c r="D32" s="5">
        <v>9.19</v>
      </c>
      <c r="E32" s="6">
        <f t="shared" si="1"/>
        <v>6.433</v>
      </c>
      <c r="F32" s="6">
        <f t="shared" si="2"/>
        <v>3014.32</v>
      </c>
      <c r="G32" s="6">
        <f t="shared" si="3"/>
        <v>2110.024</v>
      </c>
      <c r="H32" s="6">
        <f t="shared" si="4"/>
        <v>904.296</v>
      </c>
    </row>
    <row r="33">
      <c r="A33" s="4" t="s">
        <v>44</v>
      </c>
      <c r="B33" s="4">
        <v>150.0</v>
      </c>
      <c r="C33" s="5" t="s">
        <v>18</v>
      </c>
      <c r="D33" s="5">
        <v>36.2</v>
      </c>
      <c r="E33" s="6">
        <f t="shared" si="1"/>
        <v>25.34</v>
      </c>
      <c r="F33" s="6">
        <f t="shared" si="2"/>
        <v>5430</v>
      </c>
      <c r="G33" s="6">
        <f t="shared" si="3"/>
        <v>3801</v>
      </c>
      <c r="H33" s="6">
        <f t="shared" si="4"/>
        <v>1629</v>
      </c>
    </row>
    <row r="34">
      <c r="A34" s="4" t="s">
        <v>45</v>
      </c>
      <c r="B34" s="4">
        <v>535.0</v>
      </c>
      <c r="C34" s="5" t="s">
        <v>11</v>
      </c>
      <c r="D34" s="5">
        <v>209.07</v>
      </c>
      <c r="E34" s="6">
        <f t="shared" si="1"/>
        <v>146.349</v>
      </c>
      <c r="F34" s="6">
        <f t="shared" si="2"/>
        <v>111852.45</v>
      </c>
      <c r="G34" s="6">
        <f t="shared" si="3"/>
        <v>78296.715</v>
      </c>
      <c r="H34" s="6">
        <f t="shared" si="4"/>
        <v>33555.735</v>
      </c>
    </row>
    <row r="35">
      <c r="A35" s="4" t="s">
        <v>46</v>
      </c>
      <c r="B35" s="4">
        <v>1386.0</v>
      </c>
      <c r="C35" s="5" t="s">
        <v>15</v>
      </c>
      <c r="D35" s="5">
        <v>1.59</v>
      </c>
      <c r="E35" s="6">
        <f t="shared" si="1"/>
        <v>1.113</v>
      </c>
      <c r="F35" s="6">
        <f t="shared" si="2"/>
        <v>2203.74</v>
      </c>
      <c r="G35" s="6">
        <f t="shared" si="3"/>
        <v>1542.618</v>
      </c>
      <c r="H35" s="6">
        <f t="shared" si="4"/>
        <v>661.122</v>
      </c>
    </row>
    <row r="36">
      <c r="C36" s="5"/>
      <c r="D36" s="5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5"/>
      <c r="D40" s="5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5"/>
      <c r="D44" s="5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38"/>
    <col customWidth="1" min="3" max="3" width="13.5"/>
    <col customWidth="1" min="4" max="4" width="7.0"/>
    <col customWidth="1" min="5" max="5" width="18.38"/>
    <col customWidth="1" min="6" max="6" width="10.0"/>
    <col customWidth="1" min="7" max="7" width="14.75"/>
    <col customWidth="1" min="8" max="8" width="9.38"/>
  </cols>
  <sheetData>
    <row r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9" t="s">
        <v>8</v>
      </c>
      <c r="B2" s="9">
        <v>776.0</v>
      </c>
      <c r="C2" s="10" t="s">
        <v>9</v>
      </c>
      <c r="D2" s="10">
        <v>16.94</v>
      </c>
      <c r="E2" s="11">
        <f t="shared" ref="E2:E35" si="1">D2*70%</f>
        <v>11.858</v>
      </c>
      <c r="F2" s="11">
        <f t="shared" ref="F2:F35" si="2">B2*D2</f>
        <v>13145.44</v>
      </c>
      <c r="G2" s="11">
        <f t="shared" ref="G2:G35" si="3">E2*B2</f>
        <v>9201.808</v>
      </c>
      <c r="H2" s="11">
        <f t="shared" ref="H2:H35" si="4">F2-G2</f>
        <v>3943.632</v>
      </c>
    </row>
    <row r="3">
      <c r="A3" s="9" t="s">
        <v>10</v>
      </c>
      <c r="B3" s="9">
        <v>236.0</v>
      </c>
      <c r="C3" s="10" t="s">
        <v>11</v>
      </c>
      <c r="D3" s="10">
        <v>3.7</v>
      </c>
      <c r="E3" s="11">
        <f t="shared" si="1"/>
        <v>2.59</v>
      </c>
      <c r="F3" s="11">
        <f t="shared" si="2"/>
        <v>873.2</v>
      </c>
      <c r="G3" s="11">
        <f t="shared" si="3"/>
        <v>611.24</v>
      </c>
      <c r="H3" s="11">
        <f t="shared" si="4"/>
        <v>261.96</v>
      </c>
    </row>
    <row r="4">
      <c r="A4" s="9" t="s">
        <v>12</v>
      </c>
      <c r="B4" s="9">
        <v>24.0</v>
      </c>
      <c r="C4" s="12" t="s">
        <v>11</v>
      </c>
      <c r="D4" s="10">
        <v>396.34</v>
      </c>
      <c r="E4" s="11">
        <f t="shared" si="1"/>
        <v>277.438</v>
      </c>
      <c r="F4" s="11">
        <f t="shared" si="2"/>
        <v>9512.16</v>
      </c>
      <c r="G4" s="11">
        <f t="shared" si="3"/>
        <v>6658.512</v>
      </c>
      <c r="H4" s="11">
        <f t="shared" si="4"/>
        <v>2853.648</v>
      </c>
    </row>
    <row r="5">
      <c r="A5" s="9" t="s">
        <v>14</v>
      </c>
      <c r="B5" s="9">
        <v>861.0</v>
      </c>
      <c r="C5" s="10" t="s">
        <v>15</v>
      </c>
      <c r="D5" s="10">
        <v>2.27</v>
      </c>
      <c r="E5" s="11">
        <f t="shared" si="1"/>
        <v>1.589</v>
      </c>
      <c r="F5" s="11">
        <f t="shared" si="2"/>
        <v>1954.47</v>
      </c>
      <c r="G5" s="11">
        <f t="shared" si="3"/>
        <v>1368.129</v>
      </c>
      <c r="H5" s="11">
        <f t="shared" si="4"/>
        <v>586.341</v>
      </c>
    </row>
    <row r="6">
      <c r="A6" s="9" t="s">
        <v>16</v>
      </c>
      <c r="B6" s="9">
        <v>591.0</v>
      </c>
      <c r="C6" s="10" t="s">
        <v>9</v>
      </c>
      <c r="D6" s="10">
        <v>8.26</v>
      </c>
      <c r="E6" s="11">
        <f t="shared" si="1"/>
        <v>5.782</v>
      </c>
      <c r="F6" s="11">
        <f t="shared" si="2"/>
        <v>4881.66</v>
      </c>
      <c r="G6" s="11">
        <f t="shared" si="3"/>
        <v>3417.162</v>
      </c>
      <c r="H6" s="11">
        <f t="shared" si="4"/>
        <v>1464.498</v>
      </c>
    </row>
    <row r="7">
      <c r="A7" s="9" t="s">
        <v>17</v>
      </c>
      <c r="B7" s="9">
        <v>830.0</v>
      </c>
      <c r="C7" s="10" t="s">
        <v>18</v>
      </c>
      <c r="D7" s="10">
        <v>9.37</v>
      </c>
      <c r="E7" s="11">
        <f t="shared" si="1"/>
        <v>6.559</v>
      </c>
      <c r="F7" s="11">
        <f t="shared" si="2"/>
        <v>7777.1</v>
      </c>
      <c r="G7" s="11">
        <f t="shared" si="3"/>
        <v>5443.97</v>
      </c>
      <c r="H7" s="11">
        <f t="shared" si="4"/>
        <v>2333.13</v>
      </c>
    </row>
    <row r="8">
      <c r="A8" s="9" t="s">
        <v>19</v>
      </c>
      <c r="B8" s="9">
        <v>745.0</v>
      </c>
      <c r="C8" s="10" t="s">
        <v>18</v>
      </c>
      <c r="D8" s="10">
        <v>13.82</v>
      </c>
      <c r="E8" s="11">
        <f t="shared" si="1"/>
        <v>9.674</v>
      </c>
      <c r="F8" s="11">
        <f t="shared" si="2"/>
        <v>10295.9</v>
      </c>
      <c r="G8" s="11">
        <f t="shared" si="3"/>
        <v>7207.13</v>
      </c>
      <c r="H8" s="11">
        <f t="shared" si="4"/>
        <v>3088.77</v>
      </c>
    </row>
    <row r="9">
      <c r="A9" s="9" t="s">
        <v>20</v>
      </c>
      <c r="B9" s="9">
        <v>111.0</v>
      </c>
      <c r="C9" s="10" t="s">
        <v>18</v>
      </c>
      <c r="D9" s="10">
        <v>10.95</v>
      </c>
      <c r="E9" s="11">
        <f t="shared" si="1"/>
        <v>7.665</v>
      </c>
      <c r="F9" s="11">
        <f t="shared" si="2"/>
        <v>1215.45</v>
      </c>
      <c r="G9" s="11">
        <f t="shared" si="3"/>
        <v>850.815</v>
      </c>
      <c r="H9" s="11">
        <f t="shared" si="4"/>
        <v>364.635</v>
      </c>
    </row>
    <row r="10">
      <c r="A10" s="9" t="s">
        <v>21</v>
      </c>
      <c r="B10" s="9">
        <v>701.0</v>
      </c>
      <c r="C10" s="10" t="s">
        <v>15</v>
      </c>
      <c r="D10" s="10">
        <v>3.01</v>
      </c>
      <c r="E10" s="11">
        <f t="shared" si="1"/>
        <v>2.107</v>
      </c>
      <c r="F10" s="11">
        <f t="shared" si="2"/>
        <v>2110.01</v>
      </c>
      <c r="G10" s="11">
        <f t="shared" si="3"/>
        <v>1477.007</v>
      </c>
      <c r="H10" s="11">
        <f t="shared" si="4"/>
        <v>633.003</v>
      </c>
    </row>
    <row r="11">
      <c r="A11" s="9" t="s">
        <v>22</v>
      </c>
      <c r="B11" s="9">
        <v>985.0</v>
      </c>
      <c r="C11" s="10" t="s">
        <v>15</v>
      </c>
      <c r="D11" s="10">
        <v>5.94</v>
      </c>
      <c r="E11" s="11">
        <f t="shared" si="1"/>
        <v>4.158</v>
      </c>
      <c r="F11" s="11">
        <f t="shared" si="2"/>
        <v>5850.9</v>
      </c>
      <c r="G11" s="11">
        <f t="shared" si="3"/>
        <v>4095.63</v>
      </c>
      <c r="H11" s="11">
        <f t="shared" si="4"/>
        <v>1755.27</v>
      </c>
    </row>
    <row r="12">
      <c r="A12" s="9" t="s">
        <v>23</v>
      </c>
      <c r="B12" s="9">
        <v>928.0</v>
      </c>
      <c r="C12" s="10" t="s">
        <v>15</v>
      </c>
      <c r="D12" s="10">
        <v>6.05</v>
      </c>
      <c r="E12" s="11">
        <f t="shared" si="1"/>
        <v>4.235</v>
      </c>
      <c r="F12" s="11">
        <f t="shared" si="2"/>
        <v>5614.4</v>
      </c>
      <c r="G12" s="11">
        <f t="shared" si="3"/>
        <v>3930.08</v>
      </c>
      <c r="H12" s="11">
        <f t="shared" si="4"/>
        <v>1684.32</v>
      </c>
    </row>
    <row r="13">
      <c r="A13" s="9" t="s">
        <v>24</v>
      </c>
      <c r="B13" s="9">
        <v>603.0</v>
      </c>
      <c r="C13" s="10" t="s">
        <v>9</v>
      </c>
      <c r="D13" s="10">
        <v>0.94</v>
      </c>
      <c r="E13" s="11">
        <f t="shared" si="1"/>
        <v>0.658</v>
      </c>
      <c r="F13" s="11">
        <f t="shared" si="2"/>
        <v>566.82</v>
      </c>
      <c r="G13" s="11">
        <f t="shared" si="3"/>
        <v>396.774</v>
      </c>
      <c r="H13" s="11">
        <f t="shared" si="4"/>
        <v>170.046</v>
      </c>
    </row>
    <row r="14">
      <c r="A14" s="9" t="s">
        <v>25</v>
      </c>
      <c r="B14" s="9">
        <v>1065.0</v>
      </c>
      <c r="C14" s="10" t="s">
        <v>15</v>
      </c>
      <c r="D14" s="10">
        <v>2.49</v>
      </c>
      <c r="E14" s="11">
        <f t="shared" si="1"/>
        <v>1.743</v>
      </c>
      <c r="F14" s="11">
        <f t="shared" si="2"/>
        <v>2651.85</v>
      </c>
      <c r="G14" s="11">
        <f t="shared" si="3"/>
        <v>1856.295</v>
      </c>
      <c r="H14" s="11">
        <f t="shared" si="4"/>
        <v>795.555</v>
      </c>
    </row>
    <row r="15">
      <c r="A15" s="9" t="s">
        <v>26</v>
      </c>
      <c r="B15" s="9">
        <v>870.0</v>
      </c>
      <c r="C15" s="10" t="s">
        <v>15</v>
      </c>
      <c r="D15" s="10">
        <v>0.82</v>
      </c>
      <c r="E15" s="11">
        <f t="shared" si="1"/>
        <v>0.574</v>
      </c>
      <c r="F15" s="11">
        <f t="shared" si="2"/>
        <v>713.4</v>
      </c>
      <c r="G15" s="11">
        <f t="shared" si="3"/>
        <v>499.38</v>
      </c>
      <c r="H15" s="11">
        <f t="shared" si="4"/>
        <v>214.02</v>
      </c>
    </row>
    <row r="16">
      <c r="A16" s="9" t="s">
        <v>27</v>
      </c>
      <c r="B16" s="9">
        <v>157.0</v>
      </c>
      <c r="C16" s="10" t="s">
        <v>11</v>
      </c>
      <c r="D16" s="10">
        <v>6.88</v>
      </c>
      <c r="E16" s="11">
        <f t="shared" si="1"/>
        <v>4.816</v>
      </c>
      <c r="F16" s="11">
        <f t="shared" si="2"/>
        <v>1080.16</v>
      </c>
      <c r="G16" s="11">
        <f t="shared" si="3"/>
        <v>756.112</v>
      </c>
      <c r="H16" s="11">
        <f t="shared" si="4"/>
        <v>324.048</v>
      </c>
    </row>
    <row r="17">
      <c r="A17" s="9" t="s">
        <v>28</v>
      </c>
      <c r="B17" s="9">
        <v>1209.0</v>
      </c>
      <c r="C17" s="10" t="s">
        <v>9</v>
      </c>
      <c r="D17" s="10">
        <v>7.29</v>
      </c>
      <c r="E17" s="11">
        <f t="shared" si="1"/>
        <v>5.103</v>
      </c>
      <c r="F17" s="11">
        <f t="shared" si="2"/>
        <v>8813.61</v>
      </c>
      <c r="G17" s="11">
        <f t="shared" si="3"/>
        <v>6169.527</v>
      </c>
      <c r="H17" s="11">
        <f t="shared" si="4"/>
        <v>2644.083</v>
      </c>
    </row>
    <row r="18">
      <c r="A18" s="9" t="s">
        <v>29</v>
      </c>
      <c r="B18" s="9">
        <v>1015.0</v>
      </c>
      <c r="C18" s="10" t="s">
        <v>15</v>
      </c>
      <c r="D18" s="10">
        <v>2.49</v>
      </c>
      <c r="E18" s="11">
        <f t="shared" si="1"/>
        <v>1.743</v>
      </c>
      <c r="F18" s="11">
        <f t="shared" si="2"/>
        <v>2527.35</v>
      </c>
      <c r="G18" s="11">
        <f t="shared" si="3"/>
        <v>1769.145</v>
      </c>
      <c r="H18" s="11">
        <f t="shared" si="4"/>
        <v>758.205</v>
      </c>
    </row>
    <row r="19">
      <c r="A19" s="9" t="s">
        <v>30</v>
      </c>
      <c r="B19" s="9">
        <v>421.0</v>
      </c>
      <c r="C19" s="10" t="s">
        <v>11</v>
      </c>
      <c r="D19" s="10">
        <v>2.29</v>
      </c>
      <c r="E19" s="11">
        <f t="shared" si="1"/>
        <v>1.603</v>
      </c>
      <c r="F19" s="11">
        <f t="shared" si="2"/>
        <v>964.09</v>
      </c>
      <c r="G19" s="11">
        <f t="shared" si="3"/>
        <v>674.863</v>
      </c>
      <c r="H19" s="11">
        <f t="shared" si="4"/>
        <v>289.227</v>
      </c>
    </row>
    <row r="20">
      <c r="A20" s="9" t="s">
        <v>31</v>
      </c>
      <c r="B20" s="9">
        <v>281.0</v>
      </c>
      <c r="C20" s="10" t="s">
        <v>9</v>
      </c>
      <c r="D20" s="10">
        <v>1.19</v>
      </c>
      <c r="E20" s="11">
        <f t="shared" si="1"/>
        <v>0.833</v>
      </c>
      <c r="F20" s="11">
        <f t="shared" si="2"/>
        <v>334.39</v>
      </c>
      <c r="G20" s="11">
        <f t="shared" si="3"/>
        <v>234.073</v>
      </c>
      <c r="H20" s="11">
        <f t="shared" si="4"/>
        <v>100.317</v>
      </c>
    </row>
    <row r="21">
      <c r="A21" s="9" t="s">
        <v>32</v>
      </c>
      <c r="B21" s="9">
        <v>741.0</v>
      </c>
      <c r="C21" s="10" t="s">
        <v>9</v>
      </c>
      <c r="D21" s="10">
        <v>4.27</v>
      </c>
      <c r="E21" s="11">
        <f t="shared" si="1"/>
        <v>2.989</v>
      </c>
      <c r="F21" s="11">
        <f t="shared" si="2"/>
        <v>3164.07</v>
      </c>
      <c r="G21" s="11">
        <f t="shared" si="3"/>
        <v>2214.849</v>
      </c>
      <c r="H21" s="11">
        <f t="shared" si="4"/>
        <v>949.221</v>
      </c>
    </row>
    <row r="22">
      <c r="A22" s="9" t="s">
        <v>33</v>
      </c>
      <c r="B22" s="9">
        <v>125.0</v>
      </c>
      <c r="C22" s="10" t="s">
        <v>11</v>
      </c>
      <c r="D22" s="10">
        <v>105.28</v>
      </c>
      <c r="E22" s="11">
        <f t="shared" si="1"/>
        <v>73.696</v>
      </c>
      <c r="F22" s="11">
        <f t="shared" si="2"/>
        <v>13160</v>
      </c>
      <c r="G22" s="11">
        <f t="shared" si="3"/>
        <v>9212</v>
      </c>
      <c r="H22" s="11">
        <f t="shared" si="4"/>
        <v>3948</v>
      </c>
    </row>
    <row r="23">
      <c r="A23" s="9" t="s">
        <v>34</v>
      </c>
      <c r="B23" s="9">
        <v>808.0</v>
      </c>
      <c r="C23" s="10" t="s">
        <v>9</v>
      </c>
      <c r="D23" s="10">
        <v>3.92</v>
      </c>
      <c r="E23" s="11">
        <f t="shared" si="1"/>
        <v>2.744</v>
      </c>
      <c r="F23" s="11">
        <f t="shared" si="2"/>
        <v>3167.36</v>
      </c>
      <c r="G23" s="11">
        <f t="shared" si="3"/>
        <v>2217.152</v>
      </c>
      <c r="H23" s="11">
        <f t="shared" si="4"/>
        <v>950.208</v>
      </c>
    </row>
    <row r="24">
      <c r="A24" s="9" t="s">
        <v>35</v>
      </c>
      <c r="B24" s="9">
        <v>867.0</v>
      </c>
      <c r="C24" s="10" t="s">
        <v>9</v>
      </c>
      <c r="D24" s="10">
        <v>29.16</v>
      </c>
      <c r="E24" s="11">
        <f t="shared" si="1"/>
        <v>20.412</v>
      </c>
      <c r="F24" s="11">
        <f t="shared" si="2"/>
        <v>25281.72</v>
      </c>
      <c r="G24" s="11">
        <f t="shared" si="3"/>
        <v>17697.204</v>
      </c>
      <c r="H24" s="11">
        <f t="shared" si="4"/>
        <v>7584.516</v>
      </c>
    </row>
    <row r="25">
      <c r="A25" s="9" t="s">
        <v>36</v>
      </c>
      <c r="B25" s="9">
        <v>439.0</v>
      </c>
      <c r="C25" s="10" t="s">
        <v>15</v>
      </c>
      <c r="D25" s="10">
        <v>2.03</v>
      </c>
      <c r="E25" s="11">
        <f t="shared" si="1"/>
        <v>1.421</v>
      </c>
      <c r="F25" s="11">
        <f t="shared" si="2"/>
        <v>891.17</v>
      </c>
      <c r="G25" s="11">
        <f t="shared" si="3"/>
        <v>623.819</v>
      </c>
      <c r="H25" s="11">
        <f t="shared" si="4"/>
        <v>267.351</v>
      </c>
    </row>
    <row r="26">
      <c r="A26" s="9" t="s">
        <v>37</v>
      </c>
      <c r="B26" s="9">
        <v>292.0</v>
      </c>
      <c r="C26" s="10" t="s">
        <v>11</v>
      </c>
      <c r="D26" s="10">
        <v>18.55</v>
      </c>
      <c r="E26" s="11">
        <f t="shared" si="1"/>
        <v>12.985</v>
      </c>
      <c r="F26" s="11">
        <f t="shared" si="2"/>
        <v>5416.6</v>
      </c>
      <c r="G26" s="11">
        <f t="shared" si="3"/>
        <v>3791.62</v>
      </c>
      <c r="H26" s="11">
        <f t="shared" si="4"/>
        <v>1624.98</v>
      </c>
    </row>
    <row r="27">
      <c r="A27" s="9" t="s">
        <v>38</v>
      </c>
      <c r="B27" s="9">
        <v>864.0</v>
      </c>
      <c r="C27" s="10" t="s">
        <v>11</v>
      </c>
      <c r="D27" s="10">
        <v>5.0</v>
      </c>
      <c r="E27" s="11">
        <f t="shared" si="1"/>
        <v>3.5</v>
      </c>
      <c r="F27" s="11">
        <f t="shared" si="2"/>
        <v>4320</v>
      </c>
      <c r="G27" s="11">
        <f t="shared" si="3"/>
        <v>3024</v>
      </c>
      <c r="H27" s="11">
        <f t="shared" si="4"/>
        <v>1296</v>
      </c>
    </row>
    <row r="28">
      <c r="A28" s="9" t="s">
        <v>39</v>
      </c>
      <c r="B28" s="9">
        <v>127.0</v>
      </c>
      <c r="C28" s="10" t="s">
        <v>11</v>
      </c>
      <c r="D28" s="10">
        <v>3.09</v>
      </c>
      <c r="E28" s="11">
        <f t="shared" si="1"/>
        <v>2.163</v>
      </c>
      <c r="F28" s="11">
        <f t="shared" si="2"/>
        <v>392.43</v>
      </c>
      <c r="G28" s="11">
        <f t="shared" si="3"/>
        <v>274.701</v>
      </c>
      <c r="H28" s="11">
        <f t="shared" si="4"/>
        <v>117.729</v>
      </c>
    </row>
    <row r="29">
      <c r="A29" s="9" t="s">
        <v>40</v>
      </c>
      <c r="B29" s="9">
        <v>927.0</v>
      </c>
      <c r="C29" s="10" t="s">
        <v>15</v>
      </c>
      <c r="D29" s="10">
        <v>2.49</v>
      </c>
      <c r="E29" s="11">
        <f t="shared" si="1"/>
        <v>1.743</v>
      </c>
      <c r="F29" s="11">
        <f t="shared" si="2"/>
        <v>2308.23</v>
      </c>
      <c r="G29" s="11">
        <f t="shared" si="3"/>
        <v>1615.761</v>
      </c>
      <c r="H29" s="11">
        <f t="shared" si="4"/>
        <v>692.469</v>
      </c>
    </row>
    <row r="30">
      <c r="A30" s="9" t="s">
        <v>41</v>
      </c>
      <c r="B30" s="9">
        <v>566.0</v>
      </c>
      <c r="C30" s="10" t="s">
        <v>9</v>
      </c>
      <c r="D30" s="10">
        <v>2.67</v>
      </c>
      <c r="E30" s="11">
        <f t="shared" si="1"/>
        <v>1.869</v>
      </c>
      <c r="F30" s="11">
        <f t="shared" si="2"/>
        <v>1511.22</v>
      </c>
      <c r="G30" s="11">
        <f t="shared" si="3"/>
        <v>1057.854</v>
      </c>
      <c r="H30" s="11">
        <f t="shared" si="4"/>
        <v>453.366</v>
      </c>
    </row>
    <row r="31">
      <c r="A31" s="9" t="s">
        <v>42</v>
      </c>
      <c r="B31" s="9">
        <v>1289.0</v>
      </c>
      <c r="C31" s="10" t="s">
        <v>18</v>
      </c>
      <c r="D31" s="10">
        <v>8.5</v>
      </c>
      <c r="E31" s="11">
        <f t="shared" si="1"/>
        <v>5.95</v>
      </c>
      <c r="F31" s="11">
        <f t="shared" si="2"/>
        <v>10956.5</v>
      </c>
      <c r="G31" s="11">
        <f t="shared" si="3"/>
        <v>7669.55</v>
      </c>
      <c r="H31" s="11">
        <f t="shared" si="4"/>
        <v>3286.95</v>
      </c>
    </row>
    <row r="32">
      <c r="A32" s="9" t="s">
        <v>43</v>
      </c>
      <c r="B32" s="9">
        <v>328.0</v>
      </c>
      <c r="C32" s="10" t="s">
        <v>18</v>
      </c>
      <c r="D32" s="10">
        <v>9.19</v>
      </c>
      <c r="E32" s="11">
        <f t="shared" si="1"/>
        <v>6.433</v>
      </c>
      <c r="F32" s="11">
        <f t="shared" si="2"/>
        <v>3014.32</v>
      </c>
      <c r="G32" s="11">
        <f t="shared" si="3"/>
        <v>2110.024</v>
      </c>
      <c r="H32" s="11">
        <f t="shared" si="4"/>
        <v>904.296</v>
      </c>
    </row>
    <row r="33">
      <c r="A33" s="9" t="s">
        <v>44</v>
      </c>
      <c r="B33" s="9">
        <v>150.0</v>
      </c>
      <c r="C33" s="10" t="s">
        <v>18</v>
      </c>
      <c r="D33" s="10">
        <v>36.2</v>
      </c>
      <c r="E33" s="11">
        <f t="shared" si="1"/>
        <v>25.34</v>
      </c>
      <c r="F33" s="11">
        <f t="shared" si="2"/>
        <v>5430</v>
      </c>
      <c r="G33" s="11">
        <f t="shared" si="3"/>
        <v>3801</v>
      </c>
      <c r="H33" s="11">
        <f t="shared" si="4"/>
        <v>1629</v>
      </c>
    </row>
    <row r="34">
      <c r="A34" s="9" t="s">
        <v>45</v>
      </c>
      <c r="B34" s="9">
        <v>535.0</v>
      </c>
      <c r="C34" s="10" t="s">
        <v>11</v>
      </c>
      <c r="D34" s="10">
        <v>209.07</v>
      </c>
      <c r="E34" s="11">
        <f t="shared" si="1"/>
        <v>146.349</v>
      </c>
      <c r="F34" s="11">
        <f t="shared" si="2"/>
        <v>111852.45</v>
      </c>
      <c r="G34" s="11">
        <f t="shared" si="3"/>
        <v>78296.715</v>
      </c>
      <c r="H34" s="11">
        <f t="shared" si="4"/>
        <v>33555.735</v>
      </c>
    </row>
    <row r="35">
      <c r="A35" s="9" t="s">
        <v>46</v>
      </c>
      <c r="B35" s="9">
        <v>1386.0</v>
      </c>
      <c r="C35" s="10" t="s">
        <v>15</v>
      </c>
      <c r="D35" s="10">
        <v>1.59</v>
      </c>
      <c r="E35" s="11">
        <f t="shared" si="1"/>
        <v>1.113</v>
      </c>
      <c r="F35" s="11">
        <f t="shared" si="2"/>
        <v>2203.74</v>
      </c>
      <c r="G35" s="11">
        <f t="shared" si="3"/>
        <v>1542.618</v>
      </c>
      <c r="H35" s="11">
        <f t="shared" si="4"/>
        <v>661.122</v>
      </c>
    </row>
    <row r="36">
      <c r="C36" s="5"/>
      <c r="D36" s="5"/>
    </row>
    <row r="37">
      <c r="C37" s="6"/>
      <c r="D37" s="6"/>
    </row>
    <row r="38">
      <c r="C38" s="6"/>
      <c r="D38" s="6"/>
    </row>
    <row r="39">
      <c r="C39" s="6"/>
      <c r="D39" s="6"/>
    </row>
    <row r="40">
      <c r="C40" s="5"/>
      <c r="D40" s="5"/>
    </row>
    <row r="41">
      <c r="C41" s="6"/>
      <c r="D41" s="6"/>
    </row>
    <row r="42">
      <c r="C42" s="6"/>
      <c r="D42" s="6"/>
    </row>
    <row r="43">
      <c r="C43" s="6"/>
      <c r="D43" s="6"/>
    </row>
    <row r="44">
      <c r="C44" s="5"/>
      <c r="D44" s="5"/>
    </row>
    <row r="45">
      <c r="C45" s="6"/>
      <c r="D45" s="6"/>
    </row>
    <row r="46">
      <c r="C46" s="6"/>
      <c r="D46" s="6"/>
    </row>
    <row r="47">
      <c r="C47" s="6"/>
      <c r="D47" s="6"/>
    </row>
    <row r="48">
      <c r="C48" s="6"/>
      <c r="D48" s="6"/>
    </row>
    <row r="49">
      <c r="C49" s="6"/>
      <c r="D49" s="6"/>
    </row>
    <row r="50">
      <c r="C50" s="6"/>
      <c r="D50" s="6"/>
    </row>
    <row r="51">
      <c r="C51" s="6"/>
      <c r="D51" s="6"/>
    </row>
    <row r="52">
      <c r="C52" s="6"/>
      <c r="D52" s="6"/>
    </row>
    <row r="53">
      <c r="C53" s="6"/>
      <c r="D53" s="6"/>
    </row>
    <row r="54">
      <c r="C54" s="6"/>
      <c r="D54" s="6"/>
    </row>
    <row r="55">
      <c r="C55" s="6"/>
      <c r="D55" s="6"/>
    </row>
    <row r="56">
      <c r="C56" s="6"/>
      <c r="D56" s="6"/>
    </row>
    <row r="57">
      <c r="C57" s="6"/>
      <c r="D57" s="6"/>
    </row>
    <row r="58">
      <c r="C58" s="6"/>
      <c r="D58" s="6"/>
    </row>
    <row r="59">
      <c r="C59" s="6"/>
      <c r="D59" s="6"/>
    </row>
    <row r="60">
      <c r="C60" s="6"/>
      <c r="D60" s="6"/>
    </row>
    <row r="61">
      <c r="C61" s="6"/>
      <c r="D61" s="6"/>
    </row>
    <row r="62">
      <c r="C62" s="6"/>
      <c r="D62" s="6"/>
    </row>
    <row r="63">
      <c r="C63" s="6"/>
      <c r="D63" s="6"/>
    </row>
    <row r="64">
      <c r="C64" s="6"/>
      <c r="D64" s="6"/>
    </row>
    <row r="65">
      <c r="C65" s="6"/>
      <c r="D65" s="6"/>
    </row>
    <row r="66">
      <c r="C66" s="6"/>
      <c r="D66" s="6"/>
    </row>
    <row r="67">
      <c r="C67" s="6"/>
      <c r="D67" s="6"/>
    </row>
    <row r="68">
      <c r="C68" s="6"/>
      <c r="D68" s="6"/>
    </row>
    <row r="69">
      <c r="C69" s="6"/>
      <c r="D69" s="6"/>
    </row>
    <row r="70">
      <c r="C70" s="6"/>
      <c r="D70" s="6"/>
    </row>
    <row r="71">
      <c r="C71" s="6"/>
      <c r="D71" s="6"/>
    </row>
    <row r="72">
      <c r="C72" s="6"/>
      <c r="D72" s="6"/>
    </row>
    <row r="73">
      <c r="C73" s="6"/>
      <c r="D73" s="6"/>
    </row>
    <row r="74">
      <c r="C74" s="6"/>
      <c r="D74" s="6"/>
    </row>
    <row r="75">
      <c r="C75" s="6"/>
      <c r="D75" s="6"/>
    </row>
    <row r="76">
      <c r="C76" s="6"/>
      <c r="D76" s="6"/>
    </row>
    <row r="77">
      <c r="C77" s="6"/>
      <c r="D77" s="6"/>
    </row>
    <row r="78">
      <c r="C78" s="6"/>
      <c r="D78" s="6"/>
    </row>
    <row r="79">
      <c r="C79" s="6"/>
      <c r="D79" s="6"/>
    </row>
    <row r="80">
      <c r="C80" s="6"/>
      <c r="D80" s="6"/>
    </row>
    <row r="81">
      <c r="C81" s="6"/>
      <c r="D81" s="6"/>
    </row>
    <row r="82">
      <c r="C82" s="6"/>
      <c r="D82" s="6"/>
    </row>
    <row r="83">
      <c r="C83" s="6"/>
      <c r="D83" s="6"/>
    </row>
    <row r="84">
      <c r="C84" s="6"/>
      <c r="D84" s="6"/>
    </row>
    <row r="85">
      <c r="C85" s="6"/>
      <c r="D85" s="6"/>
    </row>
    <row r="86">
      <c r="C86" s="6"/>
      <c r="D86" s="6"/>
    </row>
    <row r="87">
      <c r="C87" s="6"/>
      <c r="D87" s="6"/>
    </row>
    <row r="88">
      <c r="C88" s="6"/>
      <c r="D88" s="6"/>
    </row>
    <row r="89">
      <c r="C89" s="6"/>
      <c r="D89" s="6"/>
    </row>
    <row r="90">
      <c r="C90" s="6"/>
      <c r="D90" s="6"/>
    </row>
    <row r="91">
      <c r="C91" s="6"/>
      <c r="D91" s="6"/>
    </row>
    <row r="92">
      <c r="C92" s="6"/>
      <c r="D92" s="6"/>
    </row>
    <row r="93">
      <c r="C93" s="6"/>
      <c r="D93" s="6"/>
    </row>
    <row r="94">
      <c r="C94" s="6"/>
      <c r="D94" s="6"/>
    </row>
    <row r="95">
      <c r="C95" s="6"/>
      <c r="D95" s="6"/>
    </row>
    <row r="96">
      <c r="C96" s="6"/>
      <c r="D96" s="6"/>
    </row>
    <row r="97">
      <c r="C97" s="6"/>
      <c r="D97" s="6"/>
    </row>
    <row r="98">
      <c r="C98" s="6"/>
      <c r="D98" s="6"/>
    </row>
    <row r="99">
      <c r="C99" s="6"/>
      <c r="D99" s="6"/>
    </row>
    <row r="100">
      <c r="C100" s="6"/>
      <c r="D100" s="6"/>
    </row>
    <row r="101">
      <c r="C101" s="6"/>
      <c r="D101" s="6"/>
    </row>
    <row r="102">
      <c r="C102" s="6"/>
      <c r="D102" s="6"/>
    </row>
    <row r="103">
      <c r="C103" s="6"/>
      <c r="D103" s="6"/>
    </row>
    <row r="104">
      <c r="C104" s="6"/>
      <c r="D104" s="6"/>
    </row>
    <row r="105">
      <c r="C105" s="6"/>
      <c r="D105" s="6"/>
    </row>
    <row r="106">
      <c r="C106" s="6"/>
      <c r="D106" s="6"/>
    </row>
    <row r="107">
      <c r="C107" s="6"/>
      <c r="D107" s="6"/>
    </row>
    <row r="108">
      <c r="C108" s="6"/>
      <c r="D108" s="6"/>
    </row>
    <row r="109">
      <c r="C109" s="6"/>
      <c r="D109" s="6"/>
    </row>
    <row r="110">
      <c r="C110" s="6"/>
      <c r="D110" s="6"/>
    </row>
    <row r="111">
      <c r="C111" s="6"/>
      <c r="D111" s="6"/>
    </row>
    <row r="112">
      <c r="C112" s="6"/>
      <c r="D112" s="6"/>
    </row>
    <row r="113">
      <c r="C113" s="6"/>
      <c r="D113" s="6"/>
    </row>
    <row r="114">
      <c r="C114" s="6"/>
      <c r="D114" s="6"/>
    </row>
    <row r="115">
      <c r="C115" s="6"/>
      <c r="D115" s="6"/>
    </row>
    <row r="116">
      <c r="C116" s="6"/>
      <c r="D116" s="6"/>
    </row>
    <row r="117">
      <c r="C117" s="6"/>
      <c r="D117" s="6"/>
    </row>
    <row r="118">
      <c r="C118" s="6"/>
      <c r="D118" s="6"/>
    </row>
    <row r="119">
      <c r="C119" s="6"/>
      <c r="D119" s="6"/>
    </row>
    <row r="120">
      <c r="C120" s="6"/>
      <c r="D120" s="6"/>
    </row>
    <row r="121">
      <c r="C121" s="6"/>
      <c r="D121" s="6"/>
    </row>
    <row r="122">
      <c r="C122" s="6"/>
      <c r="D122" s="6"/>
    </row>
    <row r="123">
      <c r="C123" s="6"/>
      <c r="D123" s="6"/>
    </row>
    <row r="124">
      <c r="C124" s="6"/>
      <c r="D124" s="6"/>
    </row>
    <row r="125">
      <c r="C125" s="6"/>
      <c r="D125" s="6"/>
    </row>
    <row r="126">
      <c r="C126" s="6"/>
      <c r="D126" s="6"/>
    </row>
    <row r="127">
      <c r="C127" s="6"/>
      <c r="D127" s="6"/>
    </row>
    <row r="128">
      <c r="C128" s="6"/>
      <c r="D128" s="6"/>
    </row>
    <row r="129">
      <c r="C129" s="6"/>
      <c r="D129" s="6"/>
    </row>
    <row r="130">
      <c r="C130" s="6"/>
      <c r="D130" s="6"/>
    </row>
    <row r="131">
      <c r="C131" s="6"/>
      <c r="D131" s="6"/>
    </row>
    <row r="132">
      <c r="C132" s="6"/>
      <c r="D132" s="6"/>
    </row>
    <row r="133">
      <c r="C133" s="6"/>
      <c r="D133" s="6"/>
    </row>
    <row r="134">
      <c r="C134" s="6"/>
      <c r="D134" s="6"/>
    </row>
    <row r="135">
      <c r="C135" s="6"/>
      <c r="D135" s="6"/>
    </row>
    <row r="136">
      <c r="C136" s="6"/>
      <c r="D136" s="6"/>
    </row>
    <row r="137">
      <c r="C137" s="6"/>
      <c r="D137" s="6"/>
    </row>
    <row r="138">
      <c r="C138" s="6"/>
      <c r="D138" s="6"/>
    </row>
    <row r="139">
      <c r="C139" s="6"/>
      <c r="D139" s="6"/>
    </row>
    <row r="140">
      <c r="C140" s="6"/>
      <c r="D140" s="6"/>
    </row>
    <row r="141">
      <c r="C141" s="6"/>
      <c r="D141" s="6"/>
    </row>
    <row r="142">
      <c r="C142" s="6"/>
      <c r="D142" s="6"/>
    </row>
    <row r="143">
      <c r="C143" s="6"/>
      <c r="D143" s="6"/>
    </row>
    <row r="144">
      <c r="C144" s="6"/>
      <c r="D144" s="6"/>
    </row>
    <row r="145">
      <c r="C145" s="6"/>
      <c r="D145" s="6"/>
    </row>
    <row r="146">
      <c r="C146" s="6"/>
      <c r="D146" s="6"/>
    </row>
    <row r="147">
      <c r="C147" s="6"/>
      <c r="D147" s="6"/>
    </row>
    <row r="148">
      <c r="C148" s="6"/>
      <c r="D148" s="6"/>
    </row>
    <row r="149">
      <c r="C149" s="6"/>
      <c r="D149" s="6"/>
    </row>
    <row r="150">
      <c r="C150" s="6"/>
      <c r="D150" s="6"/>
    </row>
    <row r="151">
      <c r="C151" s="6"/>
      <c r="D151" s="6"/>
    </row>
    <row r="152">
      <c r="C152" s="6"/>
      <c r="D152" s="6"/>
    </row>
    <row r="153">
      <c r="C153" s="6"/>
      <c r="D153" s="6"/>
    </row>
    <row r="154">
      <c r="C154" s="6"/>
      <c r="D154" s="6"/>
    </row>
    <row r="155">
      <c r="C155" s="6"/>
      <c r="D155" s="6"/>
    </row>
    <row r="156">
      <c r="C156" s="6"/>
      <c r="D156" s="6"/>
    </row>
    <row r="157">
      <c r="C157" s="6"/>
      <c r="D157" s="6"/>
    </row>
    <row r="158">
      <c r="C158" s="6"/>
      <c r="D158" s="6"/>
    </row>
    <row r="159">
      <c r="C159" s="6"/>
      <c r="D159" s="6"/>
    </row>
    <row r="160">
      <c r="C160" s="6"/>
      <c r="D160" s="6"/>
    </row>
    <row r="161">
      <c r="C161" s="6"/>
      <c r="D161" s="6"/>
    </row>
    <row r="162">
      <c r="C162" s="6"/>
      <c r="D162" s="6"/>
    </row>
    <row r="163">
      <c r="C163" s="6"/>
      <c r="D163" s="6"/>
    </row>
    <row r="164">
      <c r="C164" s="6"/>
      <c r="D164" s="6"/>
    </row>
    <row r="165">
      <c r="C165" s="6"/>
      <c r="D165" s="6"/>
    </row>
    <row r="166">
      <c r="C166" s="6"/>
      <c r="D166" s="6"/>
    </row>
    <row r="167">
      <c r="C167" s="6"/>
      <c r="D167" s="6"/>
    </row>
    <row r="168">
      <c r="C168" s="6"/>
      <c r="D168" s="6"/>
    </row>
    <row r="169">
      <c r="C169" s="6"/>
      <c r="D169" s="6"/>
    </row>
    <row r="170">
      <c r="C170" s="6"/>
      <c r="D170" s="6"/>
    </row>
    <row r="171">
      <c r="C171" s="6"/>
      <c r="D171" s="6"/>
    </row>
    <row r="172">
      <c r="C172" s="6"/>
      <c r="D172" s="6"/>
    </row>
    <row r="173">
      <c r="C173" s="6"/>
      <c r="D173" s="6"/>
    </row>
    <row r="174">
      <c r="C174" s="6"/>
      <c r="D174" s="6"/>
    </row>
    <row r="175">
      <c r="C175" s="6"/>
      <c r="D175" s="6"/>
    </row>
    <row r="176">
      <c r="C176" s="6"/>
      <c r="D176" s="6"/>
    </row>
    <row r="177">
      <c r="C177" s="6"/>
      <c r="D177" s="6"/>
    </row>
    <row r="178">
      <c r="C178" s="6"/>
      <c r="D178" s="6"/>
    </row>
    <row r="179">
      <c r="C179" s="6"/>
      <c r="D179" s="6"/>
    </row>
    <row r="180">
      <c r="C180" s="6"/>
      <c r="D180" s="6"/>
    </row>
    <row r="181">
      <c r="C181" s="6"/>
      <c r="D181" s="6"/>
    </row>
    <row r="182">
      <c r="C182" s="6"/>
      <c r="D182" s="6"/>
    </row>
    <row r="183">
      <c r="C183" s="6"/>
      <c r="D183" s="6"/>
    </row>
    <row r="184">
      <c r="C184" s="6"/>
      <c r="D184" s="6"/>
    </row>
    <row r="185">
      <c r="C185" s="6"/>
      <c r="D185" s="6"/>
    </row>
    <row r="186">
      <c r="C186" s="6"/>
      <c r="D186" s="6"/>
    </row>
    <row r="187">
      <c r="C187" s="6"/>
      <c r="D187" s="6"/>
    </row>
    <row r="188">
      <c r="C188" s="6"/>
      <c r="D188" s="6"/>
    </row>
    <row r="189">
      <c r="C189" s="6"/>
      <c r="D189" s="6"/>
    </row>
    <row r="190">
      <c r="C190" s="6"/>
      <c r="D190" s="6"/>
    </row>
    <row r="191">
      <c r="C191" s="6"/>
      <c r="D191" s="6"/>
    </row>
    <row r="192">
      <c r="C192" s="6"/>
      <c r="D192" s="6"/>
    </row>
    <row r="193">
      <c r="C193" s="6"/>
      <c r="D193" s="6"/>
    </row>
    <row r="194">
      <c r="C194" s="6"/>
      <c r="D194" s="6"/>
    </row>
    <row r="195">
      <c r="C195" s="6"/>
      <c r="D195" s="6"/>
    </row>
    <row r="196">
      <c r="C196" s="6"/>
      <c r="D196" s="6"/>
    </row>
    <row r="197">
      <c r="C197" s="6"/>
      <c r="D197" s="6"/>
    </row>
    <row r="198">
      <c r="C198" s="6"/>
      <c r="D198" s="6"/>
    </row>
    <row r="199">
      <c r="C199" s="6"/>
      <c r="D199" s="6"/>
    </row>
    <row r="200">
      <c r="C200" s="6"/>
      <c r="D200" s="6"/>
    </row>
    <row r="201">
      <c r="C201" s="6"/>
      <c r="D201" s="6"/>
    </row>
    <row r="202">
      <c r="C202" s="6"/>
      <c r="D202" s="6"/>
    </row>
    <row r="203">
      <c r="C203" s="6"/>
      <c r="D203" s="6"/>
    </row>
    <row r="204">
      <c r="C204" s="6"/>
      <c r="D204" s="6"/>
    </row>
    <row r="205">
      <c r="C205" s="6"/>
      <c r="D205" s="6"/>
    </row>
    <row r="206">
      <c r="C206" s="6"/>
      <c r="D206" s="6"/>
    </row>
    <row r="207">
      <c r="C207" s="6"/>
      <c r="D207" s="6"/>
    </row>
    <row r="208">
      <c r="C208" s="6"/>
      <c r="D208" s="6"/>
    </row>
    <row r="209">
      <c r="C209" s="6"/>
      <c r="D209" s="6"/>
    </row>
    <row r="210">
      <c r="C210" s="6"/>
      <c r="D210" s="6"/>
    </row>
    <row r="211">
      <c r="C211" s="6"/>
      <c r="D211" s="6"/>
    </row>
    <row r="212">
      <c r="C212" s="6"/>
      <c r="D212" s="6"/>
    </row>
    <row r="213">
      <c r="C213" s="6"/>
      <c r="D213" s="6"/>
    </row>
    <row r="214">
      <c r="C214" s="6"/>
      <c r="D214" s="6"/>
    </row>
    <row r="215">
      <c r="C215" s="6"/>
      <c r="D215" s="6"/>
    </row>
    <row r="216">
      <c r="C216" s="6"/>
      <c r="D216" s="6"/>
    </row>
    <row r="217">
      <c r="C217" s="6"/>
      <c r="D217" s="6"/>
    </row>
    <row r="218">
      <c r="C218" s="6"/>
      <c r="D218" s="6"/>
    </row>
    <row r="219">
      <c r="C219" s="6"/>
      <c r="D219" s="6"/>
    </row>
    <row r="220">
      <c r="C220" s="6"/>
      <c r="D220" s="6"/>
    </row>
    <row r="221">
      <c r="C221" s="6"/>
      <c r="D221" s="6"/>
    </row>
    <row r="222">
      <c r="C222" s="6"/>
      <c r="D222" s="6"/>
    </row>
    <row r="223">
      <c r="C223" s="6"/>
      <c r="D223" s="6"/>
    </row>
    <row r="224">
      <c r="C224" s="6"/>
      <c r="D224" s="6"/>
    </row>
    <row r="225">
      <c r="C225" s="6"/>
      <c r="D225" s="6"/>
    </row>
    <row r="226">
      <c r="C226" s="6"/>
      <c r="D226" s="6"/>
    </row>
    <row r="227">
      <c r="C227" s="6"/>
      <c r="D227" s="6"/>
    </row>
    <row r="228">
      <c r="C228" s="6"/>
      <c r="D228" s="6"/>
    </row>
    <row r="229">
      <c r="C229" s="6"/>
      <c r="D229" s="6"/>
    </row>
    <row r="230">
      <c r="C230" s="6"/>
      <c r="D230" s="6"/>
    </row>
    <row r="231">
      <c r="C231" s="6"/>
      <c r="D231" s="6"/>
    </row>
    <row r="232">
      <c r="C232" s="6"/>
      <c r="D232" s="6"/>
    </row>
    <row r="233">
      <c r="C233" s="6"/>
      <c r="D233" s="6"/>
    </row>
    <row r="234">
      <c r="C234" s="6"/>
      <c r="D234" s="6"/>
    </row>
    <row r="235">
      <c r="C235" s="6"/>
      <c r="D235" s="6"/>
    </row>
    <row r="236">
      <c r="C236" s="6"/>
      <c r="D236" s="6"/>
    </row>
    <row r="237">
      <c r="C237" s="6"/>
      <c r="D237" s="6"/>
    </row>
    <row r="238">
      <c r="C238" s="6"/>
      <c r="D238" s="6"/>
    </row>
    <row r="239">
      <c r="C239" s="6"/>
      <c r="D239" s="6"/>
    </row>
    <row r="240">
      <c r="C240" s="6"/>
      <c r="D240" s="6"/>
    </row>
    <row r="241">
      <c r="C241" s="6"/>
      <c r="D241" s="6"/>
    </row>
    <row r="242">
      <c r="C242" s="6"/>
      <c r="D242" s="6"/>
    </row>
    <row r="243">
      <c r="C243" s="6"/>
      <c r="D243" s="6"/>
    </row>
    <row r="244">
      <c r="C244" s="6"/>
      <c r="D244" s="6"/>
    </row>
    <row r="245">
      <c r="C245" s="6"/>
      <c r="D245" s="6"/>
    </row>
    <row r="246">
      <c r="C246" s="6"/>
      <c r="D246" s="6"/>
    </row>
    <row r="247">
      <c r="C247" s="6"/>
      <c r="D247" s="6"/>
    </row>
    <row r="248">
      <c r="C248" s="6"/>
      <c r="D248" s="6"/>
    </row>
    <row r="249">
      <c r="C249" s="6"/>
      <c r="D249" s="6"/>
    </row>
    <row r="250">
      <c r="C250" s="6"/>
      <c r="D250" s="6"/>
    </row>
    <row r="251">
      <c r="C251" s="6"/>
      <c r="D251" s="6"/>
    </row>
    <row r="252">
      <c r="C252" s="6"/>
      <c r="D252" s="6"/>
    </row>
    <row r="253">
      <c r="C253" s="6"/>
      <c r="D253" s="6"/>
    </row>
    <row r="254">
      <c r="C254" s="6"/>
      <c r="D254" s="6"/>
    </row>
    <row r="255">
      <c r="C255" s="6"/>
      <c r="D255" s="6"/>
    </row>
    <row r="256">
      <c r="C256" s="6"/>
      <c r="D256" s="6"/>
    </row>
    <row r="257">
      <c r="C257" s="6"/>
      <c r="D257" s="6"/>
    </row>
    <row r="258">
      <c r="C258" s="6"/>
      <c r="D258" s="6"/>
    </row>
    <row r="259">
      <c r="C259" s="6"/>
      <c r="D259" s="6"/>
    </row>
    <row r="260">
      <c r="C260" s="6"/>
      <c r="D260" s="6"/>
    </row>
    <row r="261">
      <c r="C261" s="6"/>
      <c r="D261" s="6"/>
    </row>
    <row r="262">
      <c r="C262" s="6"/>
      <c r="D262" s="6"/>
    </row>
    <row r="263">
      <c r="C263" s="6"/>
      <c r="D263" s="6"/>
    </row>
    <row r="264">
      <c r="C264" s="6"/>
      <c r="D264" s="6"/>
    </row>
    <row r="265">
      <c r="C265" s="6"/>
      <c r="D265" s="6"/>
    </row>
    <row r="266">
      <c r="C266" s="6"/>
      <c r="D266" s="6"/>
    </row>
    <row r="267">
      <c r="C267" s="6"/>
      <c r="D267" s="6"/>
    </row>
    <row r="268">
      <c r="C268" s="6"/>
      <c r="D268" s="6"/>
    </row>
    <row r="269">
      <c r="C269" s="6"/>
      <c r="D269" s="6"/>
    </row>
    <row r="270">
      <c r="C270" s="6"/>
      <c r="D270" s="6"/>
    </row>
    <row r="271">
      <c r="C271" s="6"/>
      <c r="D271" s="6"/>
    </row>
    <row r="272">
      <c r="C272" s="6"/>
      <c r="D272" s="6"/>
    </row>
    <row r="273">
      <c r="C273" s="6"/>
      <c r="D273" s="6"/>
    </row>
    <row r="274">
      <c r="C274" s="6"/>
      <c r="D274" s="6"/>
    </row>
    <row r="275">
      <c r="C275" s="6"/>
      <c r="D275" s="6"/>
    </row>
    <row r="276">
      <c r="C276" s="6"/>
      <c r="D276" s="6"/>
    </row>
    <row r="277">
      <c r="C277" s="6"/>
      <c r="D277" s="6"/>
    </row>
    <row r="278">
      <c r="C278" s="6"/>
      <c r="D278" s="6"/>
    </row>
    <row r="279">
      <c r="C279" s="6"/>
      <c r="D279" s="6"/>
    </row>
    <row r="280">
      <c r="C280" s="6"/>
      <c r="D280" s="6"/>
    </row>
    <row r="281">
      <c r="C281" s="6"/>
      <c r="D281" s="6"/>
    </row>
    <row r="282">
      <c r="C282" s="6"/>
      <c r="D282" s="6"/>
    </row>
    <row r="283">
      <c r="C283" s="6"/>
      <c r="D283" s="6"/>
    </row>
    <row r="284">
      <c r="C284" s="6"/>
      <c r="D284" s="6"/>
    </row>
    <row r="285">
      <c r="C285" s="6"/>
      <c r="D285" s="6"/>
    </row>
    <row r="286">
      <c r="C286" s="6"/>
      <c r="D286" s="6"/>
    </row>
    <row r="287">
      <c r="C287" s="6"/>
      <c r="D287" s="6"/>
    </row>
    <row r="288">
      <c r="C288" s="6"/>
      <c r="D288" s="6"/>
    </row>
    <row r="289">
      <c r="C289" s="6"/>
      <c r="D289" s="6"/>
    </row>
    <row r="290">
      <c r="C290" s="6"/>
      <c r="D290" s="6"/>
    </row>
    <row r="291">
      <c r="C291" s="6"/>
      <c r="D291" s="6"/>
    </row>
    <row r="292">
      <c r="C292" s="6"/>
      <c r="D292" s="6"/>
    </row>
    <row r="293">
      <c r="C293" s="6"/>
      <c r="D293" s="6"/>
    </row>
    <row r="294">
      <c r="C294" s="6"/>
      <c r="D294" s="6"/>
    </row>
    <row r="295">
      <c r="C295" s="6"/>
      <c r="D295" s="6"/>
    </row>
    <row r="296">
      <c r="C296" s="6"/>
      <c r="D296" s="6"/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