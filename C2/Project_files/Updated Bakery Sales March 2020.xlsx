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2" yWindow="600" windowWidth="22716" windowHeight="10788" activeTab="1"/>
  </bookViews>
  <sheets>
    <sheet name="Raw_Data" sheetId="2" r:id="rId1"/>
    <sheet name="Summary_Data" sheetId="1" r:id="rId2"/>
  </sheets>
  <calcPr calcId="144525"/>
</workbook>
</file>

<file path=xl/calcChain.xml><?xml version="1.0" encoding="utf-8"?>
<calcChain xmlns="http://schemas.openxmlformats.org/spreadsheetml/2006/main">
  <c r="E22" i="1" l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6" i="1"/>
  <c r="H12" i="1" s="1"/>
  <c r="E6" i="1"/>
  <c r="H5" i="1"/>
  <c r="H11" i="1" s="1"/>
  <c r="E5" i="1"/>
  <c r="H4" i="1"/>
  <c r="H10" i="1" s="1"/>
  <c r="E4" i="1"/>
  <c r="H3" i="1"/>
  <c r="H9" i="1" s="1"/>
  <c r="E3" i="1"/>
  <c r="E2" i="1"/>
</calcChain>
</file>

<file path=xl/sharedStrings.xml><?xml version="1.0" encoding="utf-8"?>
<sst xmlns="http://schemas.openxmlformats.org/spreadsheetml/2006/main" count="75" uniqueCount="18">
  <si>
    <t>Date</t>
  </si>
  <si>
    <t>Name</t>
  </si>
  <si>
    <t xml:space="preserve">Price </t>
  </si>
  <si>
    <t>Quantity</t>
  </si>
  <si>
    <t>Revenue</t>
  </si>
  <si>
    <t>Cupcake</t>
  </si>
  <si>
    <t>Cookie</t>
  </si>
  <si>
    <t>Total # of Cookies Sold</t>
  </si>
  <si>
    <t>Muffin</t>
  </si>
  <si>
    <t>Total # of Cupcakes Sold</t>
  </si>
  <si>
    <t>Total # of Muffins Sold</t>
  </si>
  <si>
    <t>Pie</t>
  </si>
  <si>
    <t>Total # of Pies Sold</t>
  </si>
  <si>
    <t>Cookie Revenue</t>
  </si>
  <si>
    <t>Cupcake Revenue</t>
  </si>
  <si>
    <t>Muffin Revenue</t>
  </si>
  <si>
    <t>Pie Revenue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</si>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</sst>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/d"/>
    <numFmt numFmtId="165" formatCode="&quot;$&quot;#,##0.00"/>
  </numFmts>
  <fonts count="5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</font>
    <font>
      <sz val="9"/>
      <color rgb="FF000000"/>
      <name val="&quot;Google Sans Mono&quot;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/>
    <xf numFmtId="0" fontId="2" fillId="0" borderId="0" xfId="0" applyFont="1" applyAlignment="1"/>
    <xf numFmtId="165" fontId="2" fillId="0" borderId="0" xfId="0" applyNumberFormat="1" applyFont="1" applyAlignment="1"/>
    <xf numFmtId="0" fontId="1" fillId="0" borderId="0" xfId="0" applyFont="1" applyAlignment="1"/>
    <xf numFmtId="0" fontId="3" fillId="2" borderId="0" xfId="0" applyFont="1" applyFill="1" applyAlignment="1">
      <alignment horizontal="left"/>
    </xf>
    <xf numFmtId="0" fontId="1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24"/>
  <sheetViews>
    <sheetView workbookViewId="0"/>
  </sheetViews>
  <sheetFormatPr defaultColWidth="12.6640625" defaultRowHeight="15.75" customHeight="1"/>
  <cols>
    <col min="1" max="6" width="15.77734375" customWidth="1"/>
    <col min="7" max="7" width="20.44140625" customWidth="1"/>
    <col min="8" max="26" width="15.77734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/>
      <c r="F1" s="2"/>
      <c r="G1" s="2"/>
      <c r="H1" s="2"/>
    </row>
    <row r="2" spans="1:8">
      <c r="A2" s="3">
        <v>45010</v>
      </c>
      <c r="B2" s="4" t="s">
        <v>5</v>
      </c>
      <c r="C2" s="5">
        <v>2</v>
      </c>
      <c r="D2" s="4">
        <v>30</v>
      </c>
    </row>
    <row r="3" spans="1:8">
      <c r="A3" s="3">
        <v>45010</v>
      </c>
      <c r="B3" s="4" t="s">
        <v>6</v>
      </c>
      <c r="C3" s="5">
        <v>1</v>
      </c>
      <c r="D3" s="4">
        <v>20</v>
      </c>
      <c r="G3" s="6" t="s">
        <v>17</v>
      </c>
      <c r="H3" s="4" t="s">
        <v>17</v>
      </c>
    </row>
    <row r="4" spans="1:8">
      <c r="A4" s="3">
        <v>45010</v>
      </c>
      <c r="B4" s="4" t="s">
        <v>8</v>
      </c>
      <c r="C4" s="5">
        <v>3</v>
      </c>
      <c r="D4" s="4">
        <v>12</v>
      </c>
      <c r="G4" s="7" t="s">
        <v>17</v>
      </c>
      <c r="H4" s="4" t="s">
        <v>17</v>
      </c>
    </row>
    <row r="5" spans="1:8">
      <c r="A5" s="3">
        <v>45011</v>
      </c>
      <c r="B5" s="4" t="s">
        <v>5</v>
      </c>
      <c r="C5" s="5">
        <v>2</v>
      </c>
      <c r="D5" s="4">
        <v>40</v>
      </c>
      <c r="G5" s="7" t="s">
        <v>17</v>
      </c>
      <c r="H5" s="4" t="s">
        <v>17</v>
      </c>
    </row>
    <row r="6" spans="1:8">
      <c r="A6" s="3">
        <v>45011</v>
      </c>
      <c r="B6" s="4" t="s">
        <v>11</v>
      </c>
      <c r="C6" s="5">
        <v>5</v>
      </c>
      <c r="D6" s="4">
        <v>15</v>
      </c>
      <c r="G6" s="7" t="s">
        <v>17</v>
      </c>
      <c r="H6" s="4" t="s">
        <v>17</v>
      </c>
    </row>
    <row r="7" spans="1:8">
      <c r="A7" s="3">
        <v>45012</v>
      </c>
      <c r="B7" s="4" t="s">
        <v>5</v>
      </c>
      <c r="C7" s="5">
        <v>2</v>
      </c>
      <c r="D7" s="4">
        <v>35</v>
      </c>
    </row>
    <row r="8" spans="1:8">
      <c r="A8" s="3">
        <v>45012</v>
      </c>
      <c r="B8" s="4" t="s">
        <v>6</v>
      </c>
      <c r="C8" s="5">
        <v>1</v>
      </c>
      <c r="D8" s="4">
        <v>25</v>
      </c>
    </row>
    <row r="9" spans="1:8">
      <c r="A9" s="3">
        <v>45012</v>
      </c>
      <c r="B9" s="4" t="s">
        <v>8</v>
      </c>
      <c r="C9" s="5">
        <v>3</v>
      </c>
      <c r="D9" s="4">
        <v>14</v>
      </c>
      <c r="G9" s="6" t="s">
        <v>17</v>
      </c>
      <c r="H9" s="9" t="s">
        <v>17</v>
      </c>
    </row>
    <row r="10" spans="1:8">
      <c r="A10" s="3">
        <v>45013</v>
      </c>
      <c r="B10" s="4" t="s">
        <v>5</v>
      </c>
      <c r="C10" s="5">
        <v>2</v>
      </c>
      <c r="D10" s="4">
        <v>32</v>
      </c>
      <c r="G10" s="6" t="s">
        <v>17</v>
      </c>
      <c r="H10" s="10" t="s">
        <v>17</v>
      </c>
    </row>
    <row r="11" spans="1:8">
      <c r="A11" s="3">
        <v>45013</v>
      </c>
      <c r="B11" s="4" t="s">
        <v>11</v>
      </c>
      <c r="C11" s="5">
        <v>5</v>
      </c>
      <c r="D11" s="4">
        <v>16</v>
      </c>
      <c r="G11" s="6" t="s">
        <v>17</v>
      </c>
      <c r="H11" s="10" t="s">
        <v>17</v>
      </c>
    </row>
    <row r="12" spans="1:8">
      <c r="A12" s="3">
        <v>45014</v>
      </c>
      <c r="B12" s="4" t="s">
        <v>5</v>
      </c>
      <c r="C12" s="5">
        <v>2</v>
      </c>
      <c r="D12" s="4">
        <v>38</v>
      </c>
      <c r="G12" s="6" t="s">
        <v>17</v>
      </c>
      <c r="H12" s="10" t="s">
        <v>17</v>
      </c>
    </row>
    <row r="13" spans="1:8">
      <c r="A13" s="3">
        <v>45014</v>
      </c>
      <c r="B13" s="4" t="s">
        <v>6</v>
      </c>
      <c r="C13" s="5">
        <v>1</v>
      </c>
      <c r="D13" s="4">
        <v>22</v>
      </c>
    </row>
    <row r="14" spans="1:8">
      <c r="A14" s="3">
        <v>45014</v>
      </c>
      <c r="B14" s="4" t="s">
        <v>8</v>
      </c>
      <c r="C14" s="5">
        <v>3</v>
      </c>
      <c r="D14" s="4">
        <v>13</v>
      </c>
    </row>
    <row r="15" spans="1:8">
      <c r="A15" s="3">
        <v>45015</v>
      </c>
      <c r="B15" s="4" t="s">
        <v>5</v>
      </c>
      <c r="C15" s="5">
        <v>2</v>
      </c>
      <c r="D15" s="4">
        <v>36</v>
      </c>
    </row>
    <row r="16" spans="1:8">
      <c r="A16" s="3">
        <v>45015</v>
      </c>
      <c r="B16" s="4" t="s">
        <v>11</v>
      </c>
      <c r="C16" s="5">
        <v>5</v>
      </c>
      <c r="D16" s="4">
        <v>17</v>
      </c>
    </row>
    <row r="17" spans="1:4">
      <c r="A17" s="3">
        <v>45016</v>
      </c>
      <c r="B17" s="4" t="s">
        <v>5</v>
      </c>
      <c r="C17" s="5">
        <v>2</v>
      </c>
      <c r="D17" s="4">
        <v>39</v>
      </c>
    </row>
    <row r="18" spans="1:4">
      <c r="A18" s="3">
        <v>45016</v>
      </c>
      <c r="B18" s="4" t="s">
        <v>6</v>
      </c>
      <c r="C18" s="5">
        <v>1</v>
      </c>
      <c r="D18" s="4">
        <v>24</v>
      </c>
    </row>
    <row r="19" spans="1:4">
      <c r="A19" s="3">
        <v>45016</v>
      </c>
      <c r="B19" s="4" t="s">
        <v>8</v>
      </c>
      <c r="C19" s="5">
        <v>3</v>
      </c>
      <c r="D19" s="4">
        <v>15</v>
      </c>
    </row>
    <row r="20" spans="1:4">
      <c r="A20" s="3">
        <v>45016</v>
      </c>
      <c r="B20" s="4" t="s">
        <v>11</v>
      </c>
      <c r="C20" s="5">
        <v>5</v>
      </c>
      <c r="D20" s="4">
        <v>18</v>
      </c>
    </row>
    <row r="21" spans="1:4">
      <c r="A21" s="3">
        <v>45016</v>
      </c>
      <c r="B21" s="4" t="s">
        <v>5</v>
      </c>
      <c r="C21" s="5">
        <v>2</v>
      </c>
      <c r="D21" s="4">
        <v>41</v>
      </c>
    </row>
    <row r="22" spans="1:4">
      <c r="A22" s="3">
        <v>45016</v>
      </c>
      <c r="B22" s="4" t="s">
        <v>6</v>
      </c>
      <c r="C22" s="5">
        <v>1</v>
      </c>
      <c r="D22" s="4">
        <v>26</v>
      </c>
    </row>
    <row r="24" spans="1:4">
      <c r="D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24"/>
  <sheetViews>
    <sheetView tabSelected="1" workbookViewId="0">
      <selection activeCell="L13" sqref="L13"/>
    </sheetView>
  </sheetViews>
  <sheetFormatPr defaultColWidth="12.6640625" defaultRowHeight="15.75" customHeight="1"/>
  <cols>
    <col min="1" max="6" width="15.77734375" customWidth="1"/>
    <col min="7" max="7" width="23" bestFit="1" customWidth="1"/>
    <col min="8" max="8" width="13.77734375" customWidth="1"/>
    <col min="9" max="26" width="15.77734375" customWidth="1"/>
  </cols>
  <sheetData>
    <row r="1" spans="1:8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1"/>
      <c r="G1" s="11"/>
      <c r="H1" s="11"/>
    </row>
    <row r="2" spans="1:8">
      <c r="A2" s="14">
        <v>45010</v>
      </c>
      <c r="B2" s="15" t="s">
        <v>5</v>
      </c>
      <c r="C2" s="16">
        <v>2</v>
      </c>
      <c r="D2" s="17">
        <v>30</v>
      </c>
      <c r="E2" s="16">
        <f t="shared" ref="E2:E22" si="0">C2*D2</f>
        <v>60</v>
      </c>
      <c r="F2" s="12"/>
      <c r="G2" s="12"/>
      <c r="H2" s="12"/>
    </row>
    <row r="3" spans="1:8">
      <c r="A3" s="14">
        <v>45010</v>
      </c>
      <c r="B3" s="15" t="s">
        <v>6</v>
      </c>
      <c r="C3" s="16">
        <v>1</v>
      </c>
      <c r="D3" s="17">
        <v>20</v>
      </c>
      <c r="E3" s="16">
        <f t="shared" si="0"/>
        <v>20</v>
      </c>
      <c r="F3" s="12"/>
      <c r="G3" s="18" t="s">
        <v>7</v>
      </c>
      <c r="H3" s="20">
        <f>D3+D8+D13+D18+D22</f>
        <v>117</v>
      </c>
    </row>
    <row r="4" spans="1:8">
      <c r="A4" s="14">
        <v>45010</v>
      </c>
      <c r="B4" s="15" t="s">
        <v>8</v>
      </c>
      <c r="C4" s="16">
        <v>3</v>
      </c>
      <c r="D4" s="17">
        <v>12</v>
      </c>
      <c r="E4" s="16">
        <f t="shared" si="0"/>
        <v>36</v>
      </c>
      <c r="F4" s="12"/>
      <c r="G4" s="19" t="s">
        <v>9</v>
      </c>
      <c r="H4" s="20">
        <f>D2+D5+D7+D10+D12+D15+D17+D21</f>
        <v>291</v>
      </c>
    </row>
    <row r="5" spans="1:8">
      <c r="A5" s="14">
        <v>45011</v>
      </c>
      <c r="B5" s="15" t="s">
        <v>5</v>
      </c>
      <c r="C5" s="16">
        <v>2</v>
      </c>
      <c r="D5" s="17">
        <v>40</v>
      </c>
      <c r="E5" s="16">
        <f t="shared" si="0"/>
        <v>80</v>
      </c>
      <c r="F5" s="12"/>
      <c r="G5" s="19" t="s">
        <v>10</v>
      </c>
      <c r="H5" s="20">
        <f>D4+D9+D14+D19</f>
        <v>54</v>
      </c>
    </row>
    <row r="6" spans="1:8">
      <c r="A6" s="14">
        <v>45011</v>
      </c>
      <c r="B6" s="15" t="s">
        <v>11</v>
      </c>
      <c r="C6" s="16">
        <v>5</v>
      </c>
      <c r="D6" s="17">
        <v>15</v>
      </c>
      <c r="E6" s="16">
        <f t="shared" si="0"/>
        <v>75</v>
      </c>
      <c r="F6" s="12"/>
      <c r="G6" s="19" t="s">
        <v>12</v>
      </c>
      <c r="H6" s="20">
        <f>D6+D11+D16+D20</f>
        <v>66</v>
      </c>
    </row>
    <row r="7" spans="1:8">
      <c r="A7" s="14">
        <v>45012</v>
      </c>
      <c r="B7" s="15" t="s">
        <v>5</v>
      </c>
      <c r="C7" s="16">
        <v>2</v>
      </c>
      <c r="D7" s="17">
        <v>35</v>
      </c>
      <c r="E7" s="16">
        <f t="shared" si="0"/>
        <v>70</v>
      </c>
      <c r="F7" s="12"/>
      <c r="G7" s="12"/>
      <c r="H7" s="12"/>
    </row>
    <row r="8" spans="1:8">
      <c r="A8" s="14">
        <v>45012</v>
      </c>
      <c r="B8" s="15" t="s">
        <v>6</v>
      </c>
      <c r="C8" s="16">
        <v>1</v>
      </c>
      <c r="D8" s="17">
        <v>25</v>
      </c>
      <c r="E8" s="16">
        <f t="shared" si="0"/>
        <v>25</v>
      </c>
      <c r="F8" s="12"/>
      <c r="G8" s="12"/>
      <c r="H8" s="12"/>
    </row>
    <row r="9" spans="1:8">
      <c r="A9" s="14">
        <v>45012</v>
      </c>
      <c r="B9" s="15" t="s">
        <v>8</v>
      </c>
      <c r="C9" s="16">
        <v>3</v>
      </c>
      <c r="D9" s="17">
        <v>14</v>
      </c>
      <c r="E9" s="16">
        <f t="shared" si="0"/>
        <v>42</v>
      </c>
      <c r="F9" s="12"/>
      <c r="G9" s="18" t="s">
        <v>13</v>
      </c>
      <c r="H9" s="21">
        <f>H3*1</f>
        <v>117</v>
      </c>
    </row>
    <row r="10" spans="1:8">
      <c r="A10" s="14">
        <v>45013</v>
      </c>
      <c r="B10" s="15" t="s">
        <v>5</v>
      </c>
      <c r="C10" s="16">
        <v>2</v>
      </c>
      <c r="D10" s="17">
        <v>32</v>
      </c>
      <c r="E10" s="16">
        <f t="shared" si="0"/>
        <v>64</v>
      </c>
      <c r="F10" s="12"/>
      <c r="G10" s="18" t="s">
        <v>14</v>
      </c>
      <c r="H10" s="22">
        <f>H4*2</f>
        <v>582</v>
      </c>
    </row>
    <row r="11" spans="1:8">
      <c r="A11" s="14">
        <v>45013</v>
      </c>
      <c r="B11" s="15" t="s">
        <v>11</v>
      </c>
      <c r="C11" s="16">
        <v>5</v>
      </c>
      <c r="D11" s="17">
        <v>16</v>
      </c>
      <c r="E11" s="16">
        <f t="shared" si="0"/>
        <v>80</v>
      </c>
      <c r="F11" s="12"/>
      <c r="G11" s="18" t="s">
        <v>15</v>
      </c>
      <c r="H11" s="22">
        <f>H5*3</f>
        <v>162</v>
      </c>
    </row>
    <row r="12" spans="1:8">
      <c r="A12" s="14">
        <v>45014</v>
      </c>
      <c r="B12" s="15" t="s">
        <v>5</v>
      </c>
      <c r="C12" s="16">
        <v>2</v>
      </c>
      <c r="D12" s="17">
        <v>38</v>
      </c>
      <c r="E12" s="16">
        <f t="shared" si="0"/>
        <v>76</v>
      </c>
      <c r="F12" s="12"/>
      <c r="G12" s="18" t="s">
        <v>16</v>
      </c>
      <c r="H12" s="22">
        <f>H6*5</f>
        <v>330</v>
      </c>
    </row>
    <row r="13" spans="1:8">
      <c r="A13" s="14">
        <v>45014</v>
      </c>
      <c r="B13" s="15" t="s">
        <v>6</v>
      </c>
      <c r="C13" s="16">
        <v>1</v>
      </c>
      <c r="D13" s="17">
        <v>22</v>
      </c>
      <c r="E13" s="16">
        <f t="shared" si="0"/>
        <v>22</v>
      </c>
      <c r="F13" s="12"/>
      <c r="G13" s="12"/>
      <c r="H13" s="12"/>
    </row>
    <row r="14" spans="1:8">
      <c r="A14" s="14">
        <v>45014</v>
      </c>
      <c r="B14" s="15" t="s">
        <v>8</v>
      </c>
      <c r="C14" s="16">
        <v>3</v>
      </c>
      <c r="D14" s="17">
        <v>13</v>
      </c>
      <c r="E14" s="16">
        <f t="shared" si="0"/>
        <v>39</v>
      </c>
      <c r="F14" s="12"/>
      <c r="G14" s="12"/>
      <c r="H14" s="12"/>
    </row>
    <row r="15" spans="1:8">
      <c r="A15" s="14">
        <v>45015</v>
      </c>
      <c r="B15" s="15" t="s">
        <v>5</v>
      </c>
      <c r="C15" s="16">
        <v>2</v>
      </c>
      <c r="D15" s="17">
        <v>36</v>
      </c>
      <c r="E15" s="16">
        <f t="shared" si="0"/>
        <v>72</v>
      </c>
      <c r="F15" s="12"/>
      <c r="G15" s="12"/>
      <c r="H15" s="12"/>
    </row>
    <row r="16" spans="1:8">
      <c r="A16" s="14">
        <v>45015</v>
      </c>
      <c r="B16" s="15" t="s">
        <v>11</v>
      </c>
      <c r="C16" s="16">
        <v>5</v>
      </c>
      <c r="D16" s="17">
        <v>17</v>
      </c>
      <c r="E16" s="16">
        <f t="shared" si="0"/>
        <v>85</v>
      </c>
      <c r="F16" s="12"/>
      <c r="G16" s="12"/>
      <c r="H16" s="12"/>
    </row>
    <row r="17" spans="1:8">
      <c r="A17" s="14">
        <v>45016</v>
      </c>
      <c r="B17" s="15" t="s">
        <v>5</v>
      </c>
      <c r="C17" s="16">
        <v>2</v>
      </c>
      <c r="D17" s="17">
        <v>39</v>
      </c>
      <c r="E17" s="16">
        <f t="shared" si="0"/>
        <v>78</v>
      </c>
      <c r="F17" s="12"/>
      <c r="G17" s="12"/>
      <c r="H17" s="12"/>
    </row>
    <row r="18" spans="1:8">
      <c r="A18" s="14">
        <v>45016</v>
      </c>
      <c r="B18" s="15" t="s">
        <v>6</v>
      </c>
      <c r="C18" s="16">
        <v>1</v>
      </c>
      <c r="D18" s="17">
        <v>24</v>
      </c>
      <c r="E18" s="16">
        <f t="shared" si="0"/>
        <v>24</v>
      </c>
      <c r="F18" s="12"/>
      <c r="G18" s="12"/>
      <c r="H18" s="12"/>
    </row>
    <row r="19" spans="1:8">
      <c r="A19" s="14">
        <v>45016</v>
      </c>
      <c r="B19" s="15" t="s">
        <v>8</v>
      </c>
      <c r="C19" s="16">
        <v>3</v>
      </c>
      <c r="D19" s="17">
        <v>15</v>
      </c>
      <c r="E19" s="16">
        <f t="shared" si="0"/>
        <v>45</v>
      </c>
      <c r="F19" s="12"/>
      <c r="G19" s="12"/>
      <c r="H19" s="12"/>
    </row>
    <row r="20" spans="1:8">
      <c r="A20" s="14">
        <v>45016</v>
      </c>
      <c r="B20" s="15" t="s">
        <v>11</v>
      </c>
      <c r="C20" s="16">
        <v>5</v>
      </c>
      <c r="D20" s="17">
        <v>18</v>
      </c>
      <c r="E20" s="16">
        <f t="shared" si="0"/>
        <v>90</v>
      </c>
      <c r="F20" s="12"/>
      <c r="G20" s="12"/>
      <c r="H20" s="12"/>
    </row>
    <row r="21" spans="1:8">
      <c r="A21" s="14">
        <v>45016</v>
      </c>
      <c r="B21" s="15" t="s">
        <v>5</v>
      </c>
      <c r="C21" s="16">
        <v>2</v>
      </c>
      <c r="D21" s="17">
        <v>41</v>
      </c>
      <c r="E21" s="16">
        <f t="shared" si="0"/>
        <v>82</v>
      </c>
      <c r="F21" s="12"/>
      <c r="G21" s="12"/>
      <c r="H21" s="12"/>
    </row>
    <row r="22" spans="1:8">
      <c r="A22" s="14">
        <v>45016</v>
      </c>
      <c r="B22" s="15" t="s">
        <v>6</v>
      </c>
      <c r="C22" s="16">
        <v>1</v>
      </c>
      <c r="D22" s="17">
        <v>26</v>
      </c>
      <c r="E22" s="16">
        <f t="shared" si="0"/>
        <v>26</v>
      </c>
      <c r="F22" s="12"/>
      <c r="G22" s="12"/>
      <c r="H22" s="12"/>
    </row>
    <row r="24" spans="1:8">
      <c r="D24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Summary_Data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Mayur Mayank</cp:lastModifiedBy>
  <dcterms:modified xsi:type="dcterms:W3CDTF">2026-02-18T15:00:51Z</dcterms:modified>
</cp:coreProperties>
</file>